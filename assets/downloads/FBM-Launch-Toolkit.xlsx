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rofit Calculator" sheetId="3" state="visible" r:id="rId3"/>
    <sheet xmlns:r="http://schemas.openxmlformats.org/officeDocument/2006/relationships" name="Research Tracker" sheetId="4" state="visible" r:id="rId4"/>
    <sheet xmlns:r="http://schemas.openxmlformats.org/officeDocument/2006/relationships" name="Repricing Audit" sheetId="5" state="visible" r:id="rId5"/>
    <sheet xmlns:r="http://schemas.openxmlformats.org/officeDocument/2006/relationships" name="Order Log" sheetId="6" state="visible" r:id="rId6"/>
    <sheet xmlns:r="http://schemas.openxmlformats.org/officeDocument/2006/relationships" name="Monthly Report" sheetId="7" state="visible" r:id="rId7"/>
    <sheet xmlns:r="http://schemas.openxmlformats.org/officeDocument/2006/relationships" name="30-Day Pl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1F3A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FBM Launch Toolkit</t>
        </is>
      </c>
      <c r="B1" t="inlineStr"/>
    </row>
    <row r="2">
      <c r="A2" t="inlineStr">
        <is>
          <t>Companion to "Sell on Amazon Canada Without Touching Inventory" by Rujal Tuladhar</t>
        </is>
      </c>
      <c r="B2" t="inlineStr"/>
    </row>
    <row r="3">
      <c r="A3" t="inlineStr"/>
      <c r="B3" t="inlineStr"/>
    </row>
    <row r="4">
      <c r="A4" s="2" t="inlineStr">
        <is>
          <t>Tab</t>
        </is>
      </c>
      <c r="B4" s="2" t="inlineStr">
        <is>
          <t>What it does</t>
        </is>
      </c>
    </row>
    <row r="5">
      <c r="A5" t="inlineStr">
        <is>
          <t>Settings</t>
        </is>
      </c>
      <c r="B5" t="inlineStr">
        <is>
          <t>Your fee %, drop-ship fee, shipping cost and profit floor. Every other tab reads from here. Change these first.</t>
        </is>
      </c>
    </row>
    <row r="6">
      <c r="A6" t="inlineStr">
        <is>
          <t>Profit Calculator</t>
        </is>
      </c>
      <c r="B6" t="inlineStr">
        <is>
          <t>One row per ASIN. Enter supplier price, pack sizes and the competitor total; the sheet computes your price split, fees and PASS/FAIL against your floor (Chapter 4).</t>
        </is>
      </c>
    </row>
    <row r="7">
      <c r="A7" t="inlineStr">
        <is>
          <t>Research Tracker</t>
        </is>
      </c>
      <c r="B7" t="inlineStr">
        <is>
          <t>The research pipeline log: brand gating status, UPC, ASINs found, sellers, FBA present, decision (Chapter 5).</t>
        </is>
      </c>
    </row>
    <row r="8">
      <c r="A8" t="inlineStr">
        <is>
          <t>Repricing Audit</t>
        </is>
      </c>
      <c r="B8" t="inlineStr">
        <is>
          <t>The fortnightly Featured Offer audit: my total vs featured total, match price, profit at match, MATCH or HOLD (Chapter 7).</t>
        </is>
      </c>
    </row>
    <row r="9">
      <c r="A9" t="inlineStr">
        <is>
          <t>Order Log</t>
        </is>
      </c>
      <c r="B9" t="inlineStr">
        <is>
          <t>Amazon order ID, PO (last 7 digits), supplier reference, tracking, confirmed date. The weekly reconciliation lives here (Chapter 8).</t>
        </is>
      </c>
    </row>
    <row r="10">
      <c r="A10" t="inlineStr">
        <is>
          <t>Monthly Report</t>
        </is>
      </c>
      <c r="B10" t="inlineStr">
        <is>
          <t>The one-page profit report (Chapter 11).</t>
        </is>
      </c>
    </row>
    <row r="11">
      <c r="A11" t="inlineStr">
        <is>
          <t>30-Day Plan</t>
        </is>
      </c>
      <c r="B11" t="inlineStr">
        <is>
          <t>The launch checklist from Chapter 13 with a done column.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60" customWidth="1" min="3" max="3"/>
  </cols>
  <sheetData>
    <row r="1">
      <c r="A1" s="3" t="inlineStr">
        <is>
          <t>Setting</t>
        </is>
      </c>
      <c r="B1" s="3" t="inlineStr">
        <is>
          <t>Value</t>
        </is>
      </c>
      <c r="C1" s="3" t="inlineStr">
        <is>
          <t>Note</t>
        </is>
      </c>
    </row>
    <row r="2">
      <c r="A2" t="inlineStr">
        <is>
          <t>Referral fee %</t>
        </is>
      </c>
      <c r="B2" t="n">
        <v>0.18</v>
      </c>
      <c r="C2" t="inlineStr">
        <is>
          <t>Budget above the published category rate (book uses 18%)</t>
        </is>
      </c>
    </row>
    <row r="3">
      <c r="A3" t="inlineStr">
        <is>
          <t>Drop-ship fee, order under $100</t>
        </is>
      </c>
      <c r="B3" t="n">
        <v>9.949999999999999</v>
      </c>
      <c r="C3" t="inlineStr">
        <is>
          <t>From your supplier rate card</t>
        </is>
      </c>
    </row>
    <row r="4">
      <c r="A4" t="inlineStr">
        <is>
          <t>Drop-ship fee, order $100 and over</t>
        </is>
      </c>
      <c r="B4" t="n">
        <v>4.95</v>
      </c>
      <c r="C4" t="inlineStr"/>
    </row>
    <row r="5">
      <c r="A5" t="inlineStr">
        <is>
          <t>Drop-ship fee threshold</t>
        </is>
      </c>
      <c r="B5" t="n">
        <v>100</v>
      </c>
      <c r="C5" t="inlineStr"/>
    </row>
    <row r="6">
      <c r="A6" t="inlineStr">
        <is>
          <t>Outbound shipping (supplier ships to customer)</t>
        </is>
      </c>
      <c r="B6" t="n">
        <v>12</v>
      </c>
      <c r="C6" t="inlineStr">
        <is>
          <t>Shown as the shipping line on every listing</t>
        </is>
      </c>
    </row>
    <row r="7">
      <c r="A7" t="inlineStr">
        <is>
          <t>Self-ship cost for broken-case orders</t>
        </is>
      </c>
      <c r="B7" t="n">
        <v>18</v>
      </c>
      <c r="C7" t="inlineStr">
        <is>
          <t>When the case comes to you and you ship one unit</t>
        </is>
      </c>
    </row>
    <row r="8">
      <c r="A8" t="inlineStr">
        <is>
          <t>Minimum profit per unit (the floor)</t>
        </is>
      </c>
      <c r="B8" t="n">
        <v>10</v>
      </c>
      <c r="C8" t="inlineStr">
        <is>
          <t>Never list below this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2" customWidth="1" min="10" max="10"/>
    <col width="10" customWidth="1" min="11" max="11"/>
    <col width="12" customWidth="1" min="12" max="12"/>
    <col width="14" customWidth="1" min="13" max="13"/>
    <col width="12" customWidth="1" min="14" max="14"/>
    <col width="12" customWidth="1" min="15" max="15"/>
    <col width="10" customWidth="1" min="16" max="16"/>
    <col width="12" customWidth="1" min="17" max="17"/>
  </cols>
  <sheetData>
    <row r="1">
      <c r="A1" s="3" t="inlineStr">
        <is>
          <t>ASIN</t>
        </is>
      </c>
      <c r="B1" s="3" t="inlineStr">
        <is>
          <t>Title</t>
        </is>
      </c>
      <c r="C1" s="3" t="inlineStr">
        <is>
          <t>Supplier SKU</t>
        </is>
      </c>
      <c r="D1" s="3" t="inlineStr">
        <is>
          <t>Supplier price (per supplier pack)</t>
        </is>
      </c>
      <c r="E1" s="3" t="inlineStr">
        <is>
          <t>Units per supplier pack</t>
        </is>
      </c>
      <c r="F1" s="3" t="inlineStr">
        <is>
          <t>Units per Amazon listing</t>
        </is>
      </c>
      <c r="G1" s="3" t="inlineStr">
        <is>
          <t>Broken case? (Y/N)</t>
        </is>
      </c>
      <c r="H1" s="3" t="inlineStr">
        <is>
          <t>Competitor lowest TOTAL</t>
        </is>
      </c>
      <c r="I1" s="3" t="inlineStr">
        <is>
          <t>My shipping line</t>
        </is>
      </c>
      <c r="J1" s="3" t="inlineStr">
        <is>
          <t>My item price</t>
        </is>
      </c>
      <c r="K1" s="3" t="inlineStr">
        <is>
          <t>My total</t>
        </is>
      </c>
      <c r="L1" s="3" t="inlineStr">
        <is>
          <t>Referral fee</t>
        </is>
      </c>
      <c r="M1" s="3" t="inlineStr">
        <is>
          <t>Supplier cost for this listing</t>
        </is>
      </c>
      <c r="N1" s="3" t="inlineStr">
        <is>
          <t>Drop-ship fee</t>
        </is>
      </c>
      <c r="O1" s="3" t="inlineStr">
        <is>
          <t>Shipping cost to me</t>
        </is>
      </c>
      <c r="P1" s="3" t="inlineStr">
        <is>
          <t>Profit</t>
        </is>
      </c>
      <c r="Q1" s="3" t="inlineStr">
        <is>
          <t>PASS / FAIL</t>
        </is>
      </c>
    </row>
    <row r="2">
      <c r="A2" t="inlineStr">
        <is>
          <t>B0EXAMPLE1</t>
        </is>
      </c>
      <c r="B2" t="inlineStr">
        <is>
          <t>Example: adult briefs, case of 4 packs</t>
        </is>
      </c>
      <c r="C2" t="inlineStr">
        <is>
          <t>12345</t>
        </is>
      </c>
      <c r="D2" t="n">
        <v>185</v>
      </c>
      <c r="E2" t="n">
        <v>1</v>
      </c>
      <c r="F2" t="n">
        <v>1</v>
      </c>
      <c r="G2" t="inlineStr">
        <is>
          <t>N</t>
        </is>
      </c>
      <c r="H2" t="n">
        <v>319</v>
      </c>
      <c r="I2">
        <f>IF(G2="Y",0,Settings!$B$6)</f>
        <v/>
      </c>
      <c r="J2">
        <f>IF(H2="","",H2-I2)</f>
        <v/>
      </c>
      <c r="K2">
        <f>IF(J2="","",J2+I2)</f>
        <v/>
      </c>
      <c r="L2">
        <f>IF(K2="","",K2*Settings!$B$2)</f>
        <v/>
      </c>
      <c r="M2">
        <f>IF(D2="","",D2/E2*F2)</f>
        <v/>
      </c>
      <c r="N2">
        <f>IF(K2="","",IF(G2="Y",0,IF(D2&lt;Settings!$B$5,Settings!$B$3,Settings!$B$4)))</f>
        <v/>
      </c>
      <c r="O2">
        <f>IF(K2="","",IF(G2="Y",Settings!$B$7,Settings!$B$6))</f>
        <v/>
      </c>
      <c r="P2">
        <f>IF(K2="","",K2-L2-M2-N2-O2)</f>
        <v/>
      </c>
      <c r="Q2">
        <f>IF(P2="","",IF(P2&gt;=Settings!$B$8,"PASS","FAIL"))</f>
        <v/>
      </c>
    </row>
    <row r="3">
      <c r="I3">
        <f>IF(G3="Y",0,Settings!$B$6)</f>
        <v/>
      </c>
      <c r="J3">
        <f>IF(H3="","",H3-I3)</f>
        <v/>
      </c>
      <c r="K3">
        <f>IF(J3="","",J3+I3)</f>
        <v/>
      </c>
      <c r="L3">
        <f>IF(K3="","",K3*Settings!$B$2)</f>
        <v/>
      </c>
      <c r="M3">
        <f>IF(D3="","",D3/E3*F3)</f>
        <v/>
      </c>
      <c r="N3">
        <f>IF(K3="","",IF(G3="Y",0,IF(D3&lt;Settings!$B$5,Settings!$B$3,Settings!$B$4)))</f>
        <v/>
      </c>
      <c r="O3">
        <f>IF(K3="","",IF(G3="Y",Settings!$B$7,Settings!$B$6))</f>
        <v/>
      </c>
      <c r="P3">
        <f>IF(K3="","",K3-L3-M3-N3-O3)</f>
        <v/>
      </c>
      <c r="Q3">
        <f>IF(P3="","",IF(P3&gt;=Settings!$B$8,"PASS","FAIL"))</f>
        <v/>
      </c>
    </row>
    <row r="4">
      <c r="I4">
        <f>IF(G4="Y",0,Settings!$B$6)</f>
        <v/>
      </c>
      <c r="J4">
        <f>IF(H4="","",H4-I4)</f>
        <v/>
      </c>
      <c r="K4">
        <f>IF(J4="","",J4+I4)</f>
        <v/>
      </c>
      <c r="L4">
        <f>IF(K4="","",K4*Settings!$B$2)</f>
        <v/>
      </c>
      <c r="M4">
        <f>IF(D4="","",D4/E4*F4)</f>
        <v/>
      </c>
      <c r="N4">
        <f>IF(K4="","",IF(G4="Y",0,IF(D4&lt;Settings!$B$5,Settings!$B$3,Settings!$B$4)))</f>
        <v/>
      </c>
      <c r="O4">
        <f>IF(K4="","",IF(G4="Y",Settings!$B$7,Settings!$B$6))</f>
        <v/>
      </c>
      <c r="P4">
        <f>IF(K4="","",K4-L4-M4-N4-O4)</f>
        <v/>
      </c>
      <c r="Q4">
        <f>IF(P4="","",IF(P4&gt;=Settings!$B$8,"PASS","FAIL"))</f>
        <v/>
      </c>
    </row>
    <row r="5">
      <c r="I5">
        <f>IF(G5="Y",0,Settings!$B$6)</f>
        <v/>
      </c>
      <c r="J5">
        <f>IF(H5="","",H5-I5)</f>
        <v/>
      </c>
      <c r="K5">
        <f>IF(J5="","",J5+I5)</f>
        <v/>
      </c>
      <c r="L5">
        <f>IF(K5="","",K5*Settings!$B$2)</f>
        <v/>
      </c>
      <c r="M5">
        <f>IF(D5="","",D5/E5*F5)</f>
        <v/>
      </c>
      <c r="N5">
        <f>IF(K5="","",IF(G5="Y",0,IF(D5&lt;Settings!$B$5,Settings!$B$3,Settings!$B$4)))</f>
        <v/>
      </c>
      <c r="O5">
        <f>IF(K5="","",IF(G5="Y",Settings!$B$7,Settings!$B$6))</f>
        <v/>
      </c>
      <c r="P5">
        <f>IF(K5="","",K5-L5-M5-N5-O5)</f>
        <v/>
      </c>
      <c r="Q5">
        <f>IF(P5="","",IF(P5&gt;=Settings!$B$8,"PASS","FAIL"))</f>
        <v/>
      </c>
    </row>
    <row r="6">
      <c r="I6">
        <f>IF(G6="Y",0,Settings!$B$6)</f>
        <v/>
      </c>
      <c r="J6">
        <f>IF(H6="","",H6-I6)</f>
        <v/>
      </c>
      <c r="K6">
        <f>IF(J6="","",J6+I6)</f>
        <v/>
      </c>
      <c r="L6">
        <f>IF(K6="","",K6*Settings!$B$2)</f>
        <v/>
      </c>
      <c r="M6">
        <f>IF(D6="","",D6/E6*F6)</f>
        <v/>
      </c>
      <c r="N6">
        <f>IF(K6="","",IF(G6="Y",0,IF(D6&lt;Settings!$B$5,Settings!$B$3,Settings!$B$4)))</f>
        <v/>
      </c>
      <c r="O6">
        <f>IF(K6="","",IF(G6="Y",Settings!$B$7,Settings!$B$6))</f>
        <v/>
      </c>
      <c r="P6">
        <f>IF(K6="","",K6-L6-M6-N6-O6)</f>
        <v/>
      </c>
      <c r="Q6">
        <f>IF(P6="","",IF(P6&gt;=Settings!$B$8,"PASS","FAIL"))</f>
        <v/>
      </c>
    </row>
    <row r="7">
      <c r="I7">
        <f>IF(G7="Y",0,Settings!$B$6)</f>
        <v/>
      </c>
      <c r="J7">
        <f>IF(H7="","",H7-I7)</f>
        <v/>
      </c>
      <c r="K7">
        <f>IF(J7="","",J7+I7)</f>
        <v/>
      </c>
      <c r="L7">
        <f>IF(K7="","",K7*Settings!$B$2)</f>
        <v/>
      </c>
      <c r="M7">
        <f>IF(D7="","",D7/E7*F7)</f>
        <v/>
      </c>
      <c r="N7">
        <f>IF(K7="","",IF(G7="Y",0,IF(D7&lt;Settings!$B$5,Settings!$B$3,Settings!$B$4)))</f>
        <v/>
      </c>
      <c r="O7">
        <f>IF(K7="","",IF(G7="Y",Settings!$B$7,Settings!$B$6))</f>
        <v/>
      </c>
      <c r="P7">
        <f>IF(K7="","",K7-L7-M7-N7-O7)</f>
        <v/>
      </c>
      <c r="Q7">
        <f>IF(P7="","",IF(P7&gt;=Settings!$B$8,"PASS","FAIL"))</f>
        <v/>
      </c>
    </row>
    <row r="8">
      <c r="I8">
        <f>IF(G8="Y",0,Settings!$B$6)</f>
        <v/>
      </c>
      <c r="J8">
        <f>IF(H8="","",H8-I8)</f>
        <v/>
      </c>
      <c r="K8">
        <f>IF(J8="","",J8+I8)</f>
        <v/>
      </c>
      <c r="L8">
        <f>IF(K8="","",K8*Settings!$B$2)</f>
        <v/>
      </c>
      <c r="M8">
        <f>IF(D8="","",D8/E8*F8)</f>
        <v/>
      </c>
      <c r="N8">
        <f>IF(K8="","",IF(G8="Y",0,IF(D8&lt;Settings!$B$5,Settings!$B$3,Settings!$B$4)))</f>
        <v/>
      </c>
      <c r="O8">
        <f>IF(K8="","",IF(G8="Y",Settings!$B$7,Settings!$B$6))</f>
        <v/>
      </c>
      <c r="P8">
        <f>IF(K8="","",K8-L8-M8-N8-O8)</f>
        <v/>
      </c>
      <c r="Q8">
        <f>IF(P8="","",IF(P8&gt;=Settings!$B$8,"PASS","FAIL"))</f>
        <v/>
      </c>
    </row>
    <row r="9">
      <c r="I9">
        <f>IF(G9="Y",0,Settings!$B$6)</f>
        <v/>
      </c>
      <c r="J9">
        <f>IF(H9="","",H9-I9)</f>
        <v/>
      </c>
      <c r="K9">
        <f>IF(J9="","",J9+I9)</f>
        <v/>
      </c>
      <c r="L9">
        <f>IF(K9="","",K9*Settings!$B$2)</f>
        <v/>
      </c>
      <c r="M9">
        <f>IF(D9="","",D9/E9*F9)</f>
        <v/>
      </c>
      <c r="N9">
        <f>IF(K9="","",IF(G9="Y",0,IF(D9&lt;Settings!$B$5,Settings!$B$3,Settings!$B$4)))</f>
        <v/>
      </c>
      <c r="O9">
        <f>IF(K9="","",IF(G9="Y",Settings!$B$7,Settings!$B$6))</f>
        <v/>
      </c>
      <c r="P9">
        <f>IF(K9="","",K9-L9-M9-N9-O9)</f>
        <v/>
      </c>
      <c r="Q9">
        <f>IF(P9="","",IF(P9&gt;=Settings!$B$8,"PASS","FAIL"))</f>
        <v/>
      </c>
    </row>
    <row r="10">
      <c r="I10">
        <f>IF(G10="Y",0,Settings!$B$6)</f>
        <v/>
      </c>
      <c r="J10">
        <f>IF(H10="","",H10-I10)</f>
        <v/>
      </c>
      <c r="K10">
        <f>IF(J10="","",J10+I10)</f>
        <v/>
      </c>
      <c r="L10">
        <f>IF(K10="","",K10*Settings!$B$2)</f>
        <v/>
      </c>
      <c r="M10">
        <f>IF(D10="","",D10/E10*F10)</f>
        <v/>
      </c>
      <c r="N10">
        <f>IF(K10="","",IF(G10="Y",0,IF(D10&lt;Settings!$B$5,Settings!$B$3,Settings!$B$4)))</f>
        <v/>
      </c>
      <c r="O10">
        <f>IF(K10="","",IF(G10="Y",Settings!$B$7,Settings!$B$6))</f>
        <v/>
      </c>
      <c r="P10">
        <f>IF(K10="","",K10-L10-M10-N10-O10)</f>
        <v/>
      </c>
      <c r="Q10">
        <f>IF(P10="","",IF(P10&gt;=Settings!$B$8,"PASS","FAIL"))</f>
        <v/>
      </c>
    </row>
    <row r="11">
      <c r="I11">
        <f>IF(G11="Y",0,Settings!$B$6)</f>
        <v/>
      </c>
      <c r="J11">
        <f>IF(H11="","",H11-I11)</f>
        <v/>
      </c>
      <c r="K11">
        <f>IF(J11="","",J11+I11)</f>
        <v/>
      </c>
      <c r="L11">
        <f>IF(K11="","",K11*Settings!$B$2)</f>
        <v/>
      </c>
      <c r="M11">
        <f>IF(D11="","",D11/E11*F11)</f>
        <v/>
      </c>
      <c r="N11">
        <f>IF(K11="","",IF(G11="Y",0,IF(D11&lt;Settings!$B$5,Settings!$B$3,Settings!$B$4)))</f>
        <v/>
      </c>
      <c r="O11">
        <f>IF(K11="","",IF(G11="Y",Settings!$B$7,Settings!$B$6))</f>
        <v/>
      </c>
      <c r="P11">
        <f>IF(K11="","",K11-L11-M11-N11-O11)</f>
        <v/>
      </c>
      <c r="Q11">
        <f>IF(P11="","",IF(P11&gt;=Settings!$B$8,"PASS","FAIL"))</f>
        <v/>
      </c>
    </row>
    <row r="12">
      <c r="I12">
        <f>IF(G12="Y",0,Settings!$B$6)</f>
        <v/>
      </c>
      <c r="J12">
        <f>IF(H12="","",H12-I12)</f>
        <v/>
      </c>
      <c r="K12">
        <f>IF(J12="","",J12+I12)</f>
        <v/>
      </c>
      <c r="L12">
        <f>IF(K12="","",K12*Settings!$B$2)</f>
        <v/>
      </c>
      <c r="M12">
        <f>IF(D12="","",D12/E12*F12)</f>
        <v/>
      </c>
      <c r="N12">
        <f>IF(K12="","",IF(G12="Y",0,IF(D12&lt;Settings!$B$5,Settings!$B$3,Settings!$B$4)))</f>
        <v/>
      </c>
      <c r="O12">
        <f>IF(K12="","",IF(G12="Y",Settings!$B$7,Settings!$B$6))</f>
        <v/>
      </c>
      <c r="P12">
        <f>IF(K12="","",K12-L12-M12-N12-O12)</f>
        <v/>
      </c>
      <c r="Q12">
        <f>IF(P12="","",IF(P12&gt;=Settings!$B$8,"PASS","FAIL"))</f>
        <v/>
      </c>
    </row>
    <row r="13">
      <c r="I13">
        <f>IF(G13="Y",0,Settings!$B$6)</f>
        <v/>
      </c>
      <c r="J13">
        <f>IF(H13="","",H13-I13)</f>
        <v/>
      </c>
      <c r="K13">
        <f>IF(J13="","",J13+I13)</f>
        <v/>
      </c>
      <c r="L13">
        <f>IF(K13="","",K13*Settings!$B$2)</f>
        <v/>
      </c>
      <c r="M13">
        <f>IF(D13="","",D13/E13*F13)</f>
        <v/>
      </c>
      <c r="N13">
        <f>IF(K13="","",IF(G13="Y",0,IF(D13&lt;Settings!$B$5,Settings!$B$3,Settings!$B$4)))</f>
        <v/>
      </c>
      <c r="O13">
        <f>IF(K13="","",IF(G13="Y",Settings!$B$7,Settings!$B$6))</f>
        <v/>
      </c>
      <c r="P13">
        <f>IF(K13="","",K13-L13-M13-N13-O13)</f>
        <v/>
      </c>
      <c r="Q13">
        <f>IF(P13="","",IF(P13&gt;=Settings!$B$8,"PASS","FAIL"))</f>
        <v/>
      </c>
    </row>
    <row r="14">
      <c r="I14">
        <f>IF(G14="Y",0,Settings!$B$6)</f>
        <v/>
      </c>
      <c r="J14">
        <f>IF(H14="","",H14-I14)</f>
        <v/>
      </c>
      <c r="K14">
        <f>IF(J14="","",J14+I14)</f>
        <v/>
      </c>
      <c r="L14">
        <f>IF(K14="","",K14*Settings!$B$2)</f>
        <v/>
      </c>
      <c r="M14">
        <f>IF(D14="","",D14/E14*F14)</f>
        <v/>
      </c>
      <c r="N14">
        <f>IF(K14="","",IF(G14="Y",0,IF(D14&lt;Settings!$B$5,Settings!$B$3,Settings!$B$4)))</f>
        <v/>
      </c>
      <c r="O14">
        <f>IF(K14="","",IF(G14="Y",Settings!$B$7,Settings!$B$6))</f>
        <v/>
      </c>
      <c r="P14">
        <f>IF(K14="","",K14-L14-M14-N14-O14)</f>
        <v/>
      </c>
      <c r="Q14">
        <f>IF(P14="","",IF(P14&gt;=Settings!$B$8,"PASS","FAIL"))</f>
        <v/>
      </c>
    </row>
    <row r="15">
      <c r="I15">
        <f>IF(G15="Y",0,Settings!$B$6)</f>
        <v/>
      </c>
      <c r="J15">
        <f>IF(H15="","",H15-I15)</f>
        <v/>
      </c>
      <c r="K15">
        <f>IF(J15="","",J15+I15)</f>
        <v/>
      </c>
      <c r="L15">
        <f>IF(K15="","",K15*Settings!$B$2)</f>
        <v/>
      </c>
      <c r="M15">
        <f>IF(D15="","",D15/E15*F15)</f>
        <v/>
      </c>
      <c r="N15">
        <f>IF(K15="","",IF(G15="Y",0,IF(D15&lt;Settings!$B$5,Settings!$B$3,Settings!$B$4)))</f>
        <v/>
      </c>
      <c r="O15">
        <f>IF(K15="","",IF(G15="Y",Settings!$B$7,Settings!$B$6))</f>
        <v/>
      </c>
      <c r="P15">
        <f>IF(K15="","",K15-L15-M15-N15-O15)</f>
        <v/>
      </c>
      <c r="Q15">
        <f>IF(P15="","",IF(P15&gt;=Settings!$B$8,"PASS","FAIL"))</f>
        <v/>
      </c>
    </row>
    <row r="16">
      <c r="I16">
        <f>IF(G16="Y",0,Settings!$B$6)</f>
        <v/>
      </c>
      <c r="J16">
        <f>IF(H16="","",H16-I16)</f>
        <v/>
      </c>
      <c r="K16">
        <f>IF(J16="","",J16+I16)</f>
        <v/>
      </c>
      <c r="L16">
        <f>IF(K16="","",K16*Settings!$B$2)</f>
        <v/>
      </c>
      <c r="M16">
        <f>IF(D16="","",D16/E16*F16)</f>
        <v/>
      </c>
      <c r="N16">
        <f>IF(K16="","",IF(G16="Y",0,IF(D16&lt;Settings!$B$5,Settings!$B$3,Settings!$B$4)))</f>
        <v/>
      </c>
      <c r="O16">
        <f>IF(K16="","",IF(G16="Y",Settings!$B$7,Settings!$B$6))</f>
        <v/>
      </c>
      <c r="P16">
        <f>IF(K16="","",K16-L16-M16-N16-O16)</f>
        <v/>
      </c>
      <c r="Q16">
        <f>IF(P16="","",IF(P16&gt;=Settings!$B$8,"PASS","FAIL"))</f>
        <v/>
      </c>
    </row>
    <row r="17">
      <c r="I17">
        <f>IF(G17="Y",0,Settings!$B$6)</f>
        <v/>
      </c>
      <c r="J17">
        <f>IF(H17="","",H17-I17)</f>
        <v/>
      </c>
      <c r="K17">
        <f>IF(J17="","",J17+I17)</f>
        <v/>
      </c>
      <c r="L17">
        <f>IF(K17="","",K17*Settings!$B$2)</f>
        <v/>
      </c>
      <c r="M17">
        <f>IF(D17="","",D17/E17*F17)</f>
        <v/>
      </c>
      <c r="N17">
        <f>IF(K17="","",IF(G17="Y",0,IF(D17&lt;Settings!$B$5,Settings!$B$3,Settings!$B$4)))</f>
        <v/>
      </c>
      <c r="O17">
        <f>IF(K17="","",IF(G17="Y",Settings!$B$7,Settings!$B$6))</f>
        <v/>
      </c>
      <c r="P17">
        <f>IF(K17="","",K17-L17-M17-N17-O17)</f>
        <v/>
      </c>
      <c r="Q17">
        <f>IF(P17="","",IF(P17&gt;=Settings!$B$8,"PASS","FAIL"))</f>
        <v/>
      </c>
    </row>
    <row r="18">
      <c r="I18">
        <f>IF(G18="Y",0,Settings!$B$6)</f>
        <v/>
      </c>
      <c r="J18">
        <f>IF(H18="","",H18-I18)</f>
        <v/>
      </c>
      <c r="K18">
        <f>IF(J18="","",J18+I18)</f>
        <v/>
      </c>
      <c r="L18">
        <f>IF(K18="","",K18*Settings!$B$2)</f>
        <v/>
      </c>
      <c r="M18">
        <f>IF(D18="","",D18/E18*F18)</f>
        <v/>
      </c>
      <c r="N18">
        <f>IF(K18="","",IF(G18="Y",0,IF(D18&lt;Settings!$B$5,Settings!$B$3,Settings!$B$4)))</f>
        <v/>
      </c>
      <c r="O18">
        <f>IF(K18="","",IF(G18="Y",Settings!$B$7,Settings!$B$6))</f>
        <v/>
      </c>
      <c r="P18">
        <f>IF(K18="","",K18-L18-M18-N18-O18)</f>
        <v/>
      </c>
      <c r="Q18">
        <f>IF(P18="","",IF(P18&gt;=Settings!$B$8,"PASS","FAIL"))</f>
        <v/>
      </c>
    </row>
    <row r="19">
      <c r="I19">
        <f>IF(G19="Y",0,Settings!$B$6)</f>
        <v/>
      </c>
      <c r="J19">
        <f>IF(H19="","",H19-I19)</f>
        <v/>
      </c>
      <c r="K19">
        <f>IF(J19="","",J19+I19)</f>
        <v/>
      </c>
      <c r="L19">
        <f>IF(K19="","",K19*Settings!$B$2)</f>
        <v/>
      </c>
      <c r="M19">
        <f>IF(D19="","",D19/E19*F19)</f>
        <v/>
      </c>
      <c r="N19">
        <f>IF(K19="","",IF(G19="Y",0,IF(D19&lt;Settings!$B$5,Settings!$B$3,Settings!$B$4)))</f>
        <v/>
      </c>
      <c r="O19">
        <f>IF(K19="","",IF(G19="Y",Settings!$B$7,Settings!$B$6))</f>
        <v/>
      </c>
      <c r="P19">
        <f>IF(K19="","",K19-L19-M19-N19-O19)</f>
        <v/>
      </c>
      <c r="Q19">
        <f>IF(P19="","",IF(P19&gt;=Settings!$B$8,"PASS","FAIL"))</f>
        <v/>
      </c>
    </row>
    <row r="20">
      <c r="I20">
        <f>IF(G20="Y",0,Settings!$B$6)</f>
        <v/>
      </c>
      <c r="J20">
        <f>IF(H20="","",H20-I20)</f>
        <v/>
      </c>
      <c r="K20">
        <f>IF(J20="","",J20+I20)</f>
        <v/>
      </c>
      <c r="L20">
        <f>IF(K20="","",K20*Settings!$B$2)</f>
        <v/>
      </c>
      <c r="M20">
        <f>IF(D20="","",D20/E20*F20)</f>
        <v/>
      </c>
      <c r="N20">
        <f>IF(K20="","",IF(G20="Y",0,IF(D20&lt;Settings!$B$5,Settings!$B$3,Settings!$B$4)))</f>
        <v/>
      </c>
      <c r="O20">
        <f>IF(K20="","",IF(G20="Y",Settings!$B$7,Settings!$B$6))</f>
        <v/>
      </c>
      <c r="P20">
        <f>IF(K20="","",K20-L20-M20-N20-O20)</f>
        <v/>
      </c>
      <c r="Q20">
        <f>IF(P20="","",IF(P20&gt;=Settings!$B$8,"PASS","FAIL"))</f>
        <v/>
      </c>
    </row>
    <row r="21">
      <c r="I21">
        <f>IF(G21="Y",0,Settings!$B$6)</f>
        <v/>
      </c>
      <c r="J21">
        <f>IF(H21="","",H21-I21)</f>
        <v/>
      </c>
      <c r="K21">
        <f>IF(J21="","",J21+I21)</f>
        <v/>
      </c>
      <c r="L21">
        <f>IF(K21="","",K21*Settings!$B$2)</f>
        <v/>
      </c>
      <c r="M21">
        <f>IF(D21="","",D21/E21*F21)</f>
        <v/>
      </c>
      <c r="N21">
        <f>IF(K21="","",IF(G21="Y",0,IF(D21&lt;Settings!$B$5,Settings!$B$3,Settings!$B$4)))</f>
        <v/>
      </c>
      <c r="O21">
        <f>IF(K21="","",IF(G21="Y",Settings!$B$7,Settings!$B$6))</f>
        <v/>
      </c>
      <c r="P21">
        <f>IF(K21="","",K21-L21-M21-N21-O21)</f>
        <v/>
      </c>
      <c r="Q21">
        <f>IF(P21="","",IF(P21&gt;=Settings!$B$8,"PASS","FAIL"))</f>
        <v/>
      </c>
    </row>
    <row r="22">
      <c r="I22">
        <f>IF(G22="Y",0,Settings!$B$6)</f>
        <v/>
      </c>
      <c r="J22">
        <f>IF(H22="","",H22-I22)</f>
        <v/>
      </c>
      <c r="K22">
        <f>IF(J22="","",J22+I22)</f>
        <v/>
      </c>
      <c r="L22">
        <f>IF(K22="","",K22*Settings!$B$2)</f>
        <v/>
      </c>
      <c r="M22">
        <f>IF(D22="","",D22/E22*F22)</f>
        <v/>
      </c>
      <c r="N22">
        <f>IF(K22="","",IF(G22="Y",0,IF(D22&lt;Settings!$B$5,Settings!$B$3,Settings!$B$4)))</f>
        <v/>
      </c>
      <c r="O22">
        <f>IF(K22="","",IF(G22="Y",Settings!$B$7,Settings!$B$6))</f>
        <v/>
      </c>
      <c r="P22">
        <f>IF(K22="","",K22-L22-M22-N22-O22)</f>
        <v/>
      </c>
      <c r="Q22">
        <f>IF(P22="","",IF(P22&gt;=Settings!$B$8,"PASS","FAIL"))</f>
        <v/>
      </c>
    </row>
    <row r="23">
      <c r="I23">
        <f>IF(G23="Y",0,Settings!$B$6)</f>
        <v/>
      </c>
      <c r="J23">
        <f>IF(H23="","",H23-I23)</f>
        <v/>
      </c>
      <c r="K23">
        <f>IF(J23="","",J23+I23)</f>
        <v/>
      </c>
      <c r="L23">
        <f>IF(K23="","",K23*Settings!$B$2)</f>
        <v/>
      </c>
      <c r="M23">
        <f>IF(D23="","",D23/E23*F23)</f>
        <v/>
      </c>
      <c r="N23">
        <f>IF(K23="","",IF(G23="Y",0,IF(D23&lt;Settings!$B$5,Settings!$B$3,Settings!$B$4)))</f>
        <v/>
      </c>
      <c r="O23">
        <f>IF(K23="","",IF(G23="Y",Settings!$B$7,Settings!$B$6))</f>
        <v/>
      </c>
      <c r="P23">
        <f>IF(K23="","",K23-L23-M23-N23-O23)</f>
        <v/>
      </c>
      <c r="Q23">
        <f>IF(P23="","",IF(P23&gt;=Settings!$B$8,"PASS","FAIL"))</f>
        <v/>
      </c>
    </row>
    <row r="24">
      <c r="I24">
        <f>IF(G24="Y",0,Settings!$B$6)</f>
        <v/>
      </c>
      <c r="J24">
        <f>IF(H24="","",H24-I24)</f>
        <v/>
      </c>
      <c r="K24">
        <f>IF(J24="","",J24+I24)</f>
        <v/>
      </c>
      <c r="L24">
        <f>IF(K24="","",K24*Settings!$B$2)</f>
        <v/>
      </c>
      <c r="M24">
        <f>IF(D24="","",D24/E24*F24)</f>
        <v/>
      </c>
      <c r="N24">
        <f>IF(K24="","",IF(G24="Y",0,IF(D24&lt;Settings!$B$5,Settings!$B$3,Settings!$B$4)))</f>
        <v/>
      </c>
      <c r="O24">
        <f>IF(K24="","",IF(G24="Y",Settings!$B$7,Settings!$B$6))</f>
        <v/>
      </c>
      <c r="P24">
        <f>IF(K24="","",K24-L24-M24-N24-O24)</f>
        <v/>
      </c>
      <c r="Q24">
        <f>IF(P24="","",IF(P24&gt;=Settings!$B$8,"PASS","FAIL"))</f>
        <v/>
      </c>
    </row>
    <row r="25">
      <c r="I25">
        <f>IF(G25="Y",0,Settings!$B$6)</f>
        <v/>
      </c>
      <c r="J25">
        <f>IF(H25="","",H25-I25)</f>
        <v/>
      </c>
      <c r="K25">
        <f>IF(J25="","",J25+I25)</f>
        <v/>
      </c>
      <c r="L25">
        <f>IF(K25="","",K25*Settings!$B$2)</f>
        <v/>
      </c>
      <c r="M25">
        <f>IF(D25="","",D25/E25*F25)</f>
        <v/>
      </c>
      <c r="N25">
        <f>IF(K25="","",IF(G25="Y",0,IF(D25&lt;Settings!$B$5,Settings!$B$3,Settings!$B$4)))</f>
        <v/>
      </c>
      <c r="O25">
        <f>IF(K25="","",IF(G25="Y",Settings!$B$7,Settings!$B$6))</f>
        <v/>
      </c>
      <c r="P25">
        <f>IF(K25="","",K25-L25-M25-N25-O25)</f>
        <v/>
      </c>
      <c r="Q25">
        <f>IF(P25="","",IF(P25&gt;=Settings!$B$8,"PASS","FAIL"))</f>
        <v/>
      </c>
    </row>
    <row r="26">
      <c r="I26">
        <f>IF(G26="Y",0,Settings!$B$6)</f>
        <v/>
      </c>
      <c r="J26">
        <f>IF(H26="","",H26-I26)</f>
        <v/>
      </c>
      <c r="K26">
        <f>IF(J26="","",J26+I26)</f>
        <v/>
      </c>
      <c r="L26">
        <f>IF(K26="","",K26*Settings!$B$2)</f>
        <v/>
      </c>
      <c r="M26">
        <f>IF(D26="","",D26/E26*F26)</f>
        <v/>
      </c>
      <c r="N26">
        <f>IF(K26="","",IF(G26="Y",0,IF(D26&lt;Settings!$B$5,Settings!$B$3,Settings!$B$4)))</f>
        <v/>
      </c>
      <c r="O26">
        <f>IF(K26="","",IF(G26="Y",Settings!$B$7,Settings!$B$6))</f>
        <v/>
      </c>
      <c r="P26">
        <f>IF(K26="","",K26-L26-M26-N26-O26)</f>
        <v/>
      </c>
      <c r="Q26">
        <f>IF(P26="","",IF(P26&gt;=Settings!$B$8,"PASS","FAIL"))</f>
        <v/>
      </c>
    </row>
    <row r="27">
      <c r="I27">
        <f>IF(G27="Y",0,Settings!$B$6)</f>
        <v/>
      </c>
      <c r="J27">
        <f>IF(H27="","",H27-I27)</f>
        <v/>
      </c>
      <c r="K27">
        <f>IF(J27="","",J27+I27)</f>
        <v/>
      </c>
      <c r="L27">
        <f>IF(K27="","",K27*Settings!$B$2)</f>
        <v/>
      </c>
      <c r="M27">
        <f>IF(D27="","",D27/E27*F27)</f>
        <v/>
      </c>
      <c r="N27">
        <f>IF(K27="","",IF(G27="Y",0,IF(D27&lt;Settings!$B$5,Settings!$B$3,Settings!$B$4)))</f>
        <v/>
      </c>
      <c r="O27">
        <f>IF(K27="","",IF(G27="Y",Settings!$B$7,Settings!$B$6))</f>
        <v/>
      </c>
      <c r="P27">
        <f>IF(K27="","",K27-L27-M27-N27-O27)</f>
        <v/>
      </c>
      <c r="Q27">
        <f>IF(P27="","",IF(P27&gt;=Settings!$B$8,"PASS","FAIL"))</f>
        <v/>
      </c>
    </row>
    <row r="28">
      <c r="I28">
        <f>IF(G28="Y",0,Settings!$B$6)</f>
        <v/>
      </c>
      <c r="J28">
        <f>IF(H28="","",H28-I28)</f>
        <v/>
      </c>
      <c r="K28">
        <f>IF(J28="","",J28+I28)</f>
        <v/>
      </c>
      <c r="L28">
        <f>IF(K28="","",K28*Settings!$B$2)</f>
        <v/>
      </c>
      <c r="M28">
        <f>IF(D28="","",D28/E28*F28)</f>
        <v/>
      </c>
      <c r="N28">
        <f>IF(K28="","",IF(G28="Y",0,IF(D28&lt;Settings!$B$5,Settings!$B$3,Settings!$B$4)))</f>
        <v/>
      </c>
      <c r="O28">
        <f>IF(K28="","",IF(G28="Y",Settings!$B$7,Settings!$B$6))</f>
        <v/>
      </c>
      <c r="P28">
        <f>IF(K28="","",K28-L28-M28-N28-O28)</f>
        <v/>
      </c>
      <c r="Q28">
        <f>IF(P28="","",IF(P28&gt;=Settings!$B$8,"PASS","FAIL"))</f>
        <v/>
      </c>
    </row>
    <row r="29">
      <c r="I29">
        <f>IF(G29="Y",0,Settings!$B$6)</f>
        <v/>
      </c>
      <c r="J29">
        <f>IF(H29="","",H29-I29)</f>
        <v/>
      </c>
      <c r="K29">
        <f>IF(J29="","",J29+I29)</f>
        <v/>
      </c>
      <c r="L29">
        <f>IF(K29="","",K29*Settings!$B$2)</f>
        <v/>
      </c>
      <c r="M29">
        <f>IF(D29="","",D29/E29*F29)</f>
        <v/>
      </c>
      <c r="N29">
        <f>IF(K29="","",IF(G29="Y",0,IF(D29&lt;Settings!$B$5,Settings!$B$3,Settings!$B$4)))</f>
        <v/>
      </c>
      <c r="O29">
        <f>IF(K29="","",IF(G29="Y",Settings!$B$7,Settings!$B$6))</f>
        <v/>
      </c>
      <c r="P29">
        <f>IF(K29="","",K29-L29-M29-N29-O29)</f>
        <v/>
      </c>
      <c r="Q29">
        <f>IF(P29="","",IF(P29&gt;=Settings!$B$8,"PASS","FAIL"))</f>
        <v/>
      </c>
    </row>
    <row r="30">
      <c r="I30">
        <f>IF(G30="Y",0,Settings!$B$6)</f>
        <v/>
      </c>
      <c r="J30">
        <f>IF(H30="","",H30-I30)</f>
        <v/>
      </c>
      <c r="K30">
        <f>IF(J30="","",J30+I30)</f>
        <v/>
      </c>
      <c r="L30">
        <f>IF(K30="","",K30*Settings!$B$2)</f>
        <v/>
      </c>
      <c r="M30">
        <f>IF(D30="","",D30/E30*F30)</f>
        <v/>
      </c>
      <c r="N30">
        <f>IF(K30="","",IF(G30="Y",0,IF(D30&lt;Settings!$B$5,Settings!$B$3,Settings!$B$4)))</f>
        <v/>
      </c>
      <c r="O30">
        <f>IF(K30="","",IF(G30="Y",Settings!$B$7,Settings!$B$6))</f>
        <v/>
      </c>
      <c r="P30">
        <f>IF(K30="","",K30-L30-M30-N30-O30)</f>
        <v/>
      </c>
      <c r="Q30">
        <f>IF(P30="","",IF(P30&gt;=Settings!$B$8,"PASS","FAIL"))</f>
        <v/>
      </c>
    </row>
    <row r="31">
      <c r="I31">
        <f>IF(G31="Y",0,Settings!$B$6)</f>
        <v/>
      </c>
      <c r="J31">
        <f>IF(H31="","",H31-I31)</f>
        <v/>
      </c>
      <c r="K31">
        <f>IF(J31="","",J31+I31)</f>
        <v/>
      </c>
      <c r="L31">
        <f>IF(K31="","",K31*Settings!$B$2)</f>
        <v/>
      </c>
      <c r="M31">
        <f>IF(D31="","",D31/E31*F31)</f>
        <v/>
      </c>
      <c r="N31">
        <f>IF(K31="","",IF(G31="Y",0,IF(D31&lt;Settings!$B$5,Settings!$B$3,Settings!$B$4)))</f>
        <v/>
      </c>
      <c r="O31">
        <f>IF(K31="","",IF(G31="Y",Settings!$B$7,Settings!$B$6))</f>
        <v/>
      </c>
      <c r="P31">
        <f>IF(K31="","",K31-L31-M31-N31-O31)</f>
        <v/>
      </c>
      <c r="Q31">
        <f>IF(P31="","",IF(P31&gt;=Settings!$B$8,"PASS","FAIL"))</f>
        <v/>
      </c>
    </row>
    <row r="32">
      <c r="I32">
        <f>IF(G32="Y",0,Settings!$B$6)</f>
        <v/>
      </c>
      <c r="J32">
        <f>IF(H32="","",H32-I32)</f>
        <v/>
      </c>
      <c r="K32">
        <f>IF(J32="","",J32+I32)</f>
        <v/>
      </c>
      <c r="L32">
        <f>IF(K32="","",K32*Settings!$B$2)</f>
        <v/>
      </c>
      <c r="M32">
        <f>IF(D32="","",D32/E32*F32)</f>
        <v/>
      </c>
      <c r="N32">
        <f>IF(K32="","",IF(G32="Y",0,IF(D32&lt;Settings!$B$5,Settings!$B$3,Settings!$B$4)))</f>
        <v/>
      </c>
      <c r="O32">
        <f>IF(K32="","",IF(G32="Y",Settings!$B$7,Settings!$B$6))</f>
        <v/>
      </c>
      <c r="P32">
        <f>IF(K32="","",K32-L32-M32-N32-O32)</f>
        <v/>
      </c>
      <c r="Q32">
        <f>IF(P32="","",IF(P32&gt;=Settings!$B$8,"PASS","FAIL"))</f>
        <v/>
      </c>
    </row>
    <row r="33">
      <c r="I33">
        <f>IF(G33="Y",0,Settings!$B$6)</f>
        <v/>
      </c>
      <c r="J33">
        <f>IF(H33="","",H33-I33)</f>
        <v/>
      </c>
      <c r="K33">
        <f>IF(J33="","",J33+I33)</f>
        <v/>
      </c>
      <c r="L33">
        <f>IF(K33="","",K33*Settings!$B$2)</f>
        <v/>
      </c>
      <c r="M33">
        <f>IF(D33="","",D33/E33*F33)</f>
        <v/>
      </c>
      <c r="N33">
        <f>IF(K33="","",IF(G33="Y",0,IF(D33&lt;Settings!$B$5,Settings!$B$3,Settings!$B$4)))</f>
        <v/>
      </c>
      <c r="O33">
        <f>IF(K33="","",IF(G33="Y",Settings!$B$7,Settings!$B$6))</f>
        <v/>
      </c>
      <c r="P33">
        <f>IF(K33="","",K33-L33-M33-N33-O33)</f>
        <v/>
      </c>
      <c r="Q33">
        <f>IF(P33="","",IF(P33&gt;=Settings!$B$8,"PASS","FAIL"))</f>
        <v/>
      </c>
    </row>
    <row r="34">
      <c r="I34">
        <f>IF(G34="Y",0,Settings!$B$6)</f>
        <v/>
      </c>
      <c r="J34">
        <f>IF(H34="","",H34-I34)</f>
        <v/>
      </c>
      <c r="K34">
        <f>IF(J34="","",J34+I34)</f>
        <v/>
      </c>
      <c r="L34">
        <f>IF(K34="","",K34*Settings!$B$2)</f>
        <v/>
      </c>
      <c r="M34">
        <f>IF(D34="","",D34/E34*F34)</f>
        <v/>
      </c>
      <c r="N34">
        <f>IF(K34="","",IF(G34="Y",0,IF(D34&lt;Settings!$B$5,Settings!$B$3,Settings!$B$4)))</f>
        <v/>
      </c>
      <c r="O34">
        <f>IF(K34="","",IF(G34="Y",Settings!$B$7,Settings!$B$6))</f>
        <v/>
      </c>
      <c r="P34">
        <f>IF(K34="","",K34-L34-M34-N34-O34)</f>
        <v/>
      </c>
      <c r="Q34">
        <f>IF(P34="","",IF(P34&gt;=Settings!$B$8,"PASS","FAIL"))</f>
        <v/>
      </c>
    </row>
    <row r="35">
      <c r="I35">
        <f>IF(G35="Y",0,Settings!$B$6)</f>
        <v/>
      </c>
      <c r="J35">
        <f>IF(H35="","",H35-I35)</f>
        <v/>
      </c>
      <c r="K35">
        <f>IF(J35="","",J35+I35)</f>
        <v/>
      </c>
      <c r="L35">
        <f>IF(K35="","",K35*Settings!$B$2)</f>
        <v/>
      </c>
      <c r="M35">
        <f>IF(D35="","",D35/E35*F35)</f>
        <v/>
      </c>
      <c r="N35">
        <f>IF(K35="","",IF(G35="Y",0,IF(D35&lt;Settings!$B$5,Settings!$B$3,Settings!$B$4)))</f>
        <v/>
      </c>
      <c r="O35">
        <f>IF(K35="","",IF(G35="Y",Settings!$B$7,Settings!$B$6))</f>
        <v/>
      </c>
      <c r="P35">
        <f>IF(K35="","",K35-L35-M35-N35-O35)</f>
        <v/>
      </c>
      <c r="Q35">
        <f>IF(P35="","",IF(P35&gt;=Settings!$B$8,"PASS","FAIL"))</f>
        <v/>
      </c>
    </row>
    <row r="36">
      <c r="I36">
        <f>IF(G36="Y",0,Settings!$B$6)</f>
        <v/>
      </c>
      <c r="J36">
        <f>IF(H36="","",H36-I36)</f>
        <v/>
      </c>
      <c r="K36">
        <f>IF(J36="","",J36+I36)</f>
        <v/>
      </c>
      <c r="L36">
        <f>IF(K36="","",K36*Settings!$B$2)</f>
        <v/>
      </c>
      <c r="M36">
        <f>IF(D36="","",D36/E36*F36)</f>
        <v/>
      </c>
      <c r="N36">
        <f>IF(K36="","",IF(G36="Y",0,IF(D36&lt;Settings!$B$5,Settings!$B$3,Settings!$B$4)))</f>
        <v/>
      </c>
      <c r="O36">
        <f>IF(K36="","",IF(G36="Y",Settings!$B$7,Settings!$B$6))</f>
        <v/>
      </c>
      <c r="P36">
        <f>IF(K36="","",K36-L36-M36-N36-O36)</f>
        <v/>
      </c>
      <c r="Q36">
        <f>IF(P36="","",IF(P36&gt;=Settings!$B$8,"PASS","FAIL"))</f>
        <v/>
      </c>
    </row>
    <row r="37">
      <c r="I37">
        <f>IF(G37="Y",0,Settings!$B$6)</f>
        <v/>
      </c>
      <c r="J37">
        <f>IF(H37="","",H37-I37)</f>
        <v/>
      </c>
      <c r="K37">
        <f>IF(J37="","",J37+I37)</f>
        <v/>
      </c>
      <c r="L37">
        <f>IF(K37="","",K37*Settings!$B$2)</f>
        <v/>
      </c>
      <c r="M37">
        <f>IF(D37="","",D37/E37*F37)</f>
        <v/>
      </c>
      <c r="N37">
        <f>IF(K37="","",IF(G37="Y",0,IF(D37&lt;Settings!$B$5,Settings!$B$3,Settings!$B$4)))</f>
        <v/>
      </c>
      <c r="O37">
        <f>IF(K37="","",IF(G37="Y",Settings!$B$7,Settings!$B$6))</f>
        <v/>
      </c>
      <c r="P37">
        <f>IF(K37="","",K37-L37-M37-N37-O37)</f>
        <v/>
      </c>
      <c r="Q37">
        <f>IF(P37="","",IF(P37&gt;=Settings!$B$8,"PASS","FAIL"))</f>
        <v/>
      </c>
    </row>
    <row r="38">
      <c r="I38">
        <f>IF(G38="Y",0,Settings!$B$6)</f>
        <v/>
      </c>
      <c r="J38">
        <f>IF(H38="","",H38-I38)</f>
        <v/>
      </c>
      <c r="K38">
        <f>IF(J38="","",J38+I38)</f>
        <v/>
      </c>
      <c r="L38">
        <f>IF(K38="","",K38*Settings!$B$2)</f>
        <v/>
      </c>
      <c r="M38">
        <f>IF(D38="","",D38/E38*F38)</f>
        <v/>
      </c>
      <c r="N38">
        <f>IF(K38="","",IF(G38="Y",0,IF(D38&lt;Settings!$B$5,Settings!$B$3,Settings!$B$4)))</f>
        <v/>
      </c>
      <c r="O38">
        <f>IF(K38="","",IF(G38="Y",Settings!$B$7,Settings!$B$6))</f>
        <v/>
      </c>
      <c r="P38">
        <f>IF(K38="","",K38-L38-M38-N38-O38)</f>
        <v/>
      </c>
      <c r="Q38">
        <f>IF(P38="","",IF(P38&gt;=Settings!$B$8,"PASS","FAIL"))</f>
        <v/>
      </c>
    </row>
    <row r="39">
      <c r="I39">
        <f>IF(G39="Y",0,Settings!$B$6)</f>
        <v/>
      </c>
      <c r="J39">
        <f>IF(H39="","",H39-I39)</f>
        <v/>
      </c>
      <c r="K39">
        <f>IF(J39="","",J39+I39)</f>
        <v/>
      </c>
      <c r="L39">
        <f>IF(K39="","",K39*Settings!$B$2)</f>
        <v/>
      </c>
      <c r="M39">
        <f>IF(D39="","",D39/E39*F39)</f>
        <v/>
      </c>
      <c r="N39">
        <f>IF(K39="","",IF(G39="Y",0,IF(D39&lt;Settings!$B$5,Settings!$B$3,Settings!$B$4)))</f>
        <v/>
      </c>
      <c r="O39">
        <f>IF(K39="","",IF(G39="Y",Settings!$B$7,Settings!$B$6))</f>
        <v/>
      </c>
      <c r="P39">
        <f>IF(K39="","",K39-L39-M39-N39-O39)</f>
        <v/>
      </c>
      <c r="Q39">
        <f>IF(P39="","",IF(P39&gt;=Settings!$B$8,"PASS","FAIL"))</f>
        <v/>
      </c>
    </row>
    <row r="40">
      <c r="I40">
        <f>IF(G40="Y",0,Settings!$B$6)</f>
        <v/>
      </c>
      <c r="J40">
        <f>IF(H40="","",H40-I40)</f>
        <v/>
      </c>
      <c r="K40">
        <f>IF(J40="","",J40+I40)</f>
        <v/>
      </c>
      <c r="L40">
        <f>IF(K40="","",K40*Settings!$B$2)</f>
        <v/>
      </c>
      <c r="M40">
        <f>IF(D40="","",D40/E40*F40)</f>
        <v/>
      </c>
      <c r="N40">
        <f>IF(K40="","",IF(G40="Y",0,IF(D40&lt;Settings!$B$5,Settings!$B$3,Settings!$B$4)))</f>
        <v/>
      </c>
      <c r="O40">
        <f>IF(K40="","",IF(G40="Y",Settings!$B$7,Settings!$B$6))</f>
        <v/>
      </c>
      <c r="P40">
        <f>IF(K40="","",K40-L40-M40-N40-O40)</f>
        <v/>
      </c>
      <c r="Q40">
        <f>IF(P40="","",IF(P40&gt;=Settings!$B$8,"PASS","FAIL"))</f>
        <v/>
      </c>
    </row>
    <row r="41">
      <c r="I41">
        <f>IF(G41="Y",0,Settings!$B$6)</f>
        <v/>
      </c>
      <c r="J41">
        <f>IF(H41="","",H41-I41)</f>
        <v/>
      </c>
      <c r="K41">
        <f>IF(J41="","",J41+I41)</f>
        <v/>
      </c>
      <c r="L41">
        <f>IF(K41="","",K41*Settings!$B$2)</f>
        <v/>
      </c>
      <c r="M41">
        <f>IF(D41="","",D41/E41*F41)</f>
        <v/>
      </c>
      <c r="N41">
        <f>IF(K41="","",IF(G41="Y",0,IF(D41&lt;Settings!$B$5,Settings!$B$3,Settings!$B$4)))</f>
        <v/>
      </c>
      <c r="O41">
        <f>IF(K41="","",IF(G41="Y",Settings!$B$7,Settings!$B$6))</f>
        <v/>
      </c>
      <c r="P41">
        <f>IF(K41="","",K41-L41-M41-N41-O41)</f>
        <v/>
      </c>
      <c r="Q41">
        <f>IF(P41="","",IF(P41&gt;=Settings!$B$8,"PASS","FAIL"))</f>
        <v/>
      </c>
    </row>
    <row r="42">
      <c r="I42">
        <f>IF(G42="Y",0,Settings!$B$6)</f>
        <v/>
      </c>
      <c r="J42">
        <f>IF(H42="","",H42-I42)</f>
        <v/>
      </c>
      <c r="K42">
        <f>IF(J42="","",J42+I42)</f>
        <v/>
      </c>
      <c r="L42">
        <f>IF(K42="","",K42*Settings!$B$2)</f>
        <v/>
      </c>
      <c r="M42">
        <f>IF(D42="","",D42/E42*F42)</f>
        <v/>
      </c>
      <c r="N42">
        <f>IF(K42="","",IF(G42="Y",0,IF(D42&lt;Settings!$B$5,Settings!$B$3,Settings!$B$4)))</f>
        <v/>
      </c>
      <c r="O42">
        <f>IF(K42="","",IF(G42="Y",Settings!$B$7,Settings!$B$6))</f>
        <v/>
      </c>
      <c r="P42">
        <f>IF(K42="","",K42-L42-M42-N42-O42)</f>
        <v/>
      </c>
      <c r="Q42">
        <f>IF(P42="","",IF(P42&gt;=Settings!$B$8,"PASS","FAIL"))</f>
        <v/>
      </c>
    </row>
    <row r="43">
      <c r="I43">
        <f>IF(G43="Y",0,Settings!$B$6)</f>
        <v/>
      </c>
      <c r="J43">
        <f>IF(H43="","",H43-I43)</f>
        <v/>
      </c>
      <c r="K43">
        <f>IF(J43="","",J43+I43)</f>
        <v/>
      </c>
      <c r="L43">
        <f>IF(K43="","",K43*Settings!$B$2)</f>
        <v/>
      </c>
      <c r="M43">
        <f>IF(D43="","",D43/E43*F43)</f>
        <v/>
      </c>
      <c r="N43">
        <f>IF(K43="","",IF(G43="Y",0,IF(D43&lt;Settings!$B$5,Settings!$B$3,Settings!$B$4)))</f>
        <v/>
      </c>
      <c r="O43">
        <f>IF(K43="","",IF(G43="Y",Settings!$B$7,Settings!$B$6))</f>
        <v/>
      </c>
      <c r="P43">
        <f>IF(K43="","",K43-L43-M43-N43-O43)</f>
        <v/>
      </c>
      <c r="Q43">
        <f>IF(P43="","",IF(P43&gt;=Settings!$B$8,"PASS","FAIL"))</f>
        <v/>
      </c>
    </row>
    <row r="44">
      <c r="I44">
        <f>IF(G44="Y",0,Settings!$B$6)</f>
        <v/>
      </c>
      <c r="J44">
        <f>IF(H44="","",H44-I44)</f>
        <v/>
      </c>
      <c r="K44">
        <f>IF(J44="","",J44+I44)</f>
        <v/>
      </c>
      <c r="L44">
        <f>IF(K44="","",K44*Settings!$B$2)</f>
        <v/>
      </c>
      <c r="M44">
        <f>IF(D44="","",D44/E44*F44)</f>
        <v/>
      </c>
      <c r="N44">
        <f>IF(K44="","",IF(G44="Y",0,IF(D44&lt;Settings!$B$5,Settings!$B$3,Settings!$B$4)))</f>
        <v/>
      </c>
      <c r="O44">
        <f>IF(K44="","",IF(G44="Y",Settings!$B$7,Settings!$B$6))</f>
        <v/>
      </c>
      <c r="P44">
        <f>IF(K44="","",K44-L44-M44-N44-O44)</f>
        <v/>
      </c>
      <c r="Q44">
        <f>IF(P44="","",IF(P44&gt;=Settings!$B$8,"PASS","FAIL"))</f>
        <v/>
      </c>
    </row>
    <row r="45">
      <c r="I45">
        <f>IF(G45="Y",0,Settings!$B$6)</f>
        <v/>
      </c>
      <c r="J45">
        <f>IF(H45="","",H45-I45)</f>
        <v/>
      </c>
      <c r="K45">
        <f>IF(J45="","",J45+I45)</f>
        <v/>
      </c>
      <c r="L45">
        <f>IF(K45="","",K45*Settings!$B$2)</f>
        <v/>
      </c>
      <c r="M45">
        <f>IF(D45="","",D45/E45*F45)</f>
        <v/>
      </c>
      <c r="N45">
        <f>IF(K45="","",IF(G45="Y",0,IF(D45&lt;Settings!$B$5,Settings!$B$3,Settings!$B$4)))</f>
        <v/>
      </c>
      <c r="O45">
        <f>IF(K45="","",IF(G45="Y",Settings!$B$7,Settings!$B$6))</f>
        <v/>
      </c>
      <c r="P45">
        <f>IF(K45="","",K45-L45-M45-N45-O45)</f>
        <v/>
      </c>
      <c r="Q45">
        <f>IF(P45="","",IF(P45&gt;=Settings!$B$8,"PASS","FAIL"))</f>
        <v/>
      </c>
    </row>
    <row r="46">
      <c r="I46">
        <f>IF(G46="Y",0,Settings!$B$6)</f>
        <v/>
      </c>
      <c r="J46">
        <f>IF(H46="","",H46-I46)</f>
        <v/>
      </c>
      <c r="K46">
        <f>IF(J46="","",J46+I46)</f>
        <v/>
      </c>
      <c r="L46">
        <f>IF(K46="","",K46*Settings!$B$2)</f>
        <v/>
      </c>
      <c r="M46">
        <f>IF(D46="","",D46/E46*F46)</f>
        <v/>
      </c>
      <c r="N46">
        <f>IF(K46="","",IF(G46="Y",0,IF(D46&lt;Settings!$B$5,Settings!$B$3,Settings!$B$4)))</f>
        <v/>
      </c>
      <c r="O46">
        <f>IF(K46="","",IF(G46="Y",Settings!$B$7,Settings!$B$6))</f>
        <v/>
      </c>
      <c r="P46">
        <f>IF(K46="","",K46-L46-M46-N46-O46)</f>
        <v/>
      </c>
      <c r="Q46">
        <f>IF(P46="","",IF(P46&gt;=Settings!$B$8,"PASS","FAIL"))</f>
        <v/>
      </c>
    </row>
    <row r="47">
      <c r="I47">
        <f>IF(G47="Y",0,Settings!$B$6)</f>
        <v/>
      </c>
      <c r="J47">
        <f>IF(H47="","",H47-I47)</f>
        <v/>
      </c>
      <c r="K47">
        <f>IF(J47="","",J47+I47)</f>
        <v/>
      </c>
      <c r="L47">
        <f>IF(K47="","",K47*Settings!$B$2)</f>
        <v/>
      </c>
      <c r="M47">
        <f>IF(D47="","",D47/E47*F47)</f>
        <v/>
      </c>
      <c r="N47">
        <f>IF(K47="","",IF(G47="Y",0,IF(D47&lt;Settings!$B$5,Settings!$B$3,Settings!$B$4)))</f>
        <v/>
      </c>
      <c r="O47">
        <f>IF(K47="","",IF(G47="Y",Settings!$B$7,Settings!$B$6))</f>
        <v/>
      </c>
      <c r="P47">
        <f>IF(K47="","",K47-L47-M47-N47-O47)</f>
        <v/>
      </c>
      <c r="Q47">
        <f>IF(P47="","",IF(P47&gt;=Settings!$B$8,"PASS","FAIL"))</f>
        <v/>
      </c>
    </row>
    <row r="48">
      <c r="I48">
        <f>IF(G48="Y",0,Settings!$B$6)</f>
        <v/>
      </c>
      <c r="J48">
        <f>IF(H48="","",H48-I48)</f>
        <v/>
      </c>
      <c r="K48">
        <f>IF(J48="","",J48+I48)</f>
        <v/>
      </c>
      <c r="L48">
        <f>IF(K48="","",K48*Settings!$B$2)</f>
        <v/>
      </c>
      <c r="M48">
        <f>IF(D48="","",D48/E48*F48)</f>
        <v/>
      </c>
      <c r="N48">
        <f>IF(K48="","",IF(G48="Y",0,IF(D48&lt;Settings!$B$5,Settings!$B$3,Settings!$B$4)))</f>
        <v/>
      </c>
      <c r="O48">
        <f>IF(K48="","",IF(G48="Y",Settings!$B$7,Settings!$B$6))</f>
        <v/>
      </c>
      <c r="P48">
        <f>IF(K48="","",K48-L48-M48-N48-O48)</f>
        <v/>
      </c>
      <c r="Q48">
        <f>IF(P48="","",IF(P48&gt;=Settings!$B$8,"PASS","FAIL"))</f>
        <v/>
      </c>
    </row>
    <row r="49">
      <c r="I49">
        <f>IF(G49="Y",0,Settings!$B$6)</f>
        <v/>
      </c>
      <c r="J49">
        <f>IF(H49="","",H49-I49)</f>
        <v/>
      </c>
      <c r="K49">
        <f>IF(J49="","",J49+I49)</f>
        <v/>
      </c>
      <c r="L49">
        <f>IF(K49="","",K49*Settings!$B$2)</f>
        <v/>
      </c>
      <c r="M49">
        <f>IF(D49="","",D49/E49*F49)</f>
        <v/>
      </c>
      <c r="N49">
        <f>IF(K49="","",IF(G49="Y",0,IF(D49&lt;Settings!$B$5,Settings!$B$3,Settings!$B$4)))</f>
        <v/>
      </c>
      <c r="O49">
        <f>IF(K49="","",IF(G49="Y",Settings!$B$7,Settings!$B$6))</f>
        <v/>
      </c>
      <c r="P49">
        <f>IF(K49="","",K49-L49-M49-N49-O49)</f>
        <v/>
      </c>
      <c r="Q49">
        <f>IF(P49="","",IF(P49&gt;=Settings!$B$8,"PASS","FAIL"))</f>
        <v/>
      </c>
    </row>
    <row r="50">
      <c r="I50">
        <f>IF(G50="Y",0,Settings!$B$6)</f>
        <v/>
      </c>
      <c r="J50">
        <f>IF(H50="","",H50-I50)</f>
        <v/>
      </c>
      <c r="K50">
        <f>IF(J50="","",J50+I50)</f>
        <v/>
      </c>
      <c r="L50">
        <f>IF(K50="","",K50*Settings!$B$2)</f>
        <v/>
      </c>
      <c r="M50">
        <f>IF(D50="","",D50/E50*F50)</f>
        <v/>
      </c>
      <c r="N50">
        <f>IF(K50="","",IF(G50="Y",0,IF(D50&lt;Settings!$B$5,Settings!$B$3,Settings!$B$4)))</f>
        <v/>
      </c>
      <c r="O50">
        <f>IF(K50="","",IF(G50="Y",Settings!$B$7,Settings!$B$6))</f>
        <v/>
      </c>
      <c r="P50">
        <f>IF(K50="","",K50-L50-M50-N50-O50)</f>
        <v/>
      </c>
      <c r="Q50">
        <f>IF(P50="","",IF(P50&gt;=Settings!$B$8,"PASS","FAIL"))</f>
        <v/>
      </c>
    </row>
    <row r="51">
      <c r="I51">
        <f>IF(G51="Y",0,Settings!$B$6)</f>
        <v/>
      </c>
      <c r="J51">
        <f>IF(H51="","",H51-I51)</f>
        <v/>
      </c>
      <c r="K51">
        <f>IF(J51="","",J51+I51)</f>
        <v/>
      </c>
      <c r="L51">
        <f>IF(K51="","",K51*Settings!$B$2)</f>
        <v/>
      </c>
      <c r="M51">
        <f>IF(D51="","",D51/E51*F51)</f>
        <v/>
      </c>
      <c r="N51">
        <f>IF(K51="","",IF(G51="Y",0,IF(D51&lt;Settings!$B$5,Settings!$B$3,Settings!$B$4)))</f>
        <v/>
      </c>
      <c r="O51">
        <f>IF(K51="","",IF(G51="Y",Settings!$B$7,Settings!$B$6))</f>
        <v/>
      </c>
      <c r="P51">
        <f>IF(K51="","",K51-L51-M51-N51-O51)</f>
        <v/>
      </c>
      <c r="Q51">
        <f>IF(P51="","",IF(P51&gt;=Settings!$B$8,"PASS","FAIL"))</f>
        <v/>
      </c>
    </row>
    <row r="52">
      <c r="I52">
        <f>IF(G52="Y",0,Settings!$B$6)</f>
        <v/>
      </c>
      <c r="J52">
        <f>IF(H52="","",H52-I52)</f>
        <v/>
      </c>
      <c r="K52">
        <f>IF(J52="","",J52+I52)</f>
        <v/>
      </c>
      <c r="L52">
        <f>IF(K52="","",K52*Settings!$B$2)</f>
        <v/>
      </c>
      <c r="M52">
        <f>IF(D52="","",D52/E52*F52)</f>
        <v/>
      </c>
      <c r="N52">
        <f>IF(K52="","",IF(G52="Y",0,IF(D52&lt;Settings!$B$5,Settings!$B$3,Settings!$B$4)))</f>
        <v/>
      </c>
      <c r="O52">
        <f>IF(K52="","",IF(G52="Y",Settings!$B$7,Settings!$B$6))</f>
        <v/>
      </c>
      <c r="P52">
        <f>IF(K52="","",K52-L52-M52-N52-O52)</f>
        <v/>
      </c>
      <c r="Q52">
        <f>IF(P52="","",IF(P52&gt;=Settings!$B$8,"PASS","FAIL"))</f>
        <v/>
      </c>
    </row>
    <row r="53">
      <c r="I53">
        <f>IF(G53="Y",0,Settings!$B$6)</f>
        <v/>
      </c>
      <c r="J53">
        <f>IF(H53="","",H53-I53)</f>
        <v/>
      </c>
      <c r="K53">
        <f>IF(J53="","",J53+I53)</f>
        <v/>
      </c>
      <c r="L53">
        <f>IF(K53="","",K53*Settings!$B$2)</f>
        <v/>
      </c>
      <c r="M53">
        <f>IF(D53="","",D53/E53*F53)</f>
        <v/>
      </c>
      <c r="N53">
        <f>IF(K53="","",IF(G53="Y",0,IF(D53&lt;Settings!$B$5,Settings!$B$3,Settings!$B$4)))</f>
        <v/>
      </c>
      <c r="O53">
        <f>IF(K53="","",IF(G53="Y",Settings!$B$7,Settings!$B$6))</f>
        <v/>
      </c>
      <c r="P53">
        <f>IF(K53="","",K53-L53-M53-N53-O53)</f>
        <v/>
      </c>
      <c r="Q53">
        <f>IF(P53="","",IF(P53&gt;=Settings!$B$8,"PASS","FAIL"))</f>
        <v/>
      </c>
    </row>
    <row r="54">
      <c r="I54">
        <f>IF(G54="Y",0,Settings!$B$6)</f>
        <v/>
      </c>
      <c r="J54">
        <f>IF(H54="","",H54-I54)</f>
        <v/>
      </c>
      <c r="K54">
        <f>IF(J54="","",J54+I54)</f>
        <v/>
      </c>
      <c r="L54">
        <f>IF(K54="","",K54*Settings!$B$2)</f>
        <v/>
      </c>
      <c r="M54">
        <f>IF(D54="","",D54/E54*F54)</f>
        <v/>
      </c>
      <c r="N54">
        <f>IF(K54="","",IF(G54="Y",0,IF(D54&lt;Settings!$B$5,Settings!$B$3,Settings!$B$4)))</f>
        <v/>
      </c>
      <c r="O54">
        <f>IF(K54="","",IF(G54="Y",Settings!$B$7,Settings!$B$6))</f>
        <v/>
      </c>
      <c r="P54">
        <f>IF(K54="","",K54-L54-M54-N54-O54)</f>
        <v/>
      </c>
      <c r="Q54">
        <f>IF(P54="","",IF(P54&gt;=Settings!$B$8,"PASS","FAIL"))</f>
        <v/>
      </c>
    </row>
    <row r="55">
      <c r="I55">
        <f>IF(G55="Y",0,Settings!$B$6)</f>
        <v/>
      </c>
      <c r="J55">
        <f>IF(H55="","",H55-I55)</f>
        <v/>
      </c>
      <c r="K55">
        <f>IF(J55="","",J55+I55)</f>
        <v/>
      </c>
      <c r="L55">
        <f>IF(K55="","",K55*Settings!$B$2)</f>
        <v/>
      </c>
      <c r="M55">
        <f>IF(D55="","",D55/E55*F55)</f>
        <v/>
      </c>
      <c r="N55">
        <f>IF(K55="","",IF(G55="Y",0,IF(D55&lt;Settings!$B$5,Settings!$B$3,Settings!$B$4)))</f>
        <v/>
      </c>
      <c r="O55">
        <f>IF(K55="","",IF(G55="Y",Settings!$B$7,Settings!$B$6))</f>
        <v/>
      </c>
      <c r="P55">
        <f>IF(K55="","",K55-L55-M55-N55-O55)</f>
        <v/>
      </c>
      <c r="Q55">
        <f>IF(P55="","",IF(P55&gt;=Settings!$B$8,"PASS","FAIL"))</f>
        <v/>
      </c>
    </row>
    <row r="56">
      <c r="I56">
        <f>IF(G56="Y",0,Settings!$B$6)</f>
        <v/>
      </c>
      <c r="J56">
        <f>IF(H56="","",H56-I56)</f>
        <v/>
      </c>
      <c r="K56">
        <f>IF(J56="","",J56+I56)</f>
        <v/>
      </c>
      <c r="L56">
        <f>IF(K56="","",K56*Settings!$B$2)</f>
        <v/>
      </c>
      <c r="M56">
        <f>IF(D56="","",D56/E56*F56)</f>
        <v/>
      </c>
      <c r="N56">
        <f>IF(K56="","",IF(G56="Y",0,IF(D56&lt;Settings!$B$5,Settings!$B$3,Settings!$B$4)))</f>
        <v/>
      </c>
      <c r="O56">
        <f>IF(K56="","",IF(G56="Y",Settings!$B$7,Settings!$B$6))</f>
        <v/>
      </c>
      <c r="P56">
        <f>IF(K56="","",K56-L56-M56-N56-O56)</f>
        <v/>
      </c>
      <c r="Q56">
        <f>IF(P56="","",IF(P56&gt;=Settings!$B$8,"PASS","FAIL"))</f>
        <v/>
      </c>
    </row>
    <row r="57">
      <c r="I57">
        <f>IF(G57="Y",0,Settings!$B$6)</f>
        <v/>
      </c>
      <c r="J57">
        <f>IF(H57="","",H57-I57)</f>
        <v/>
      </c>
      <c r="K57">
        <f>IF(J57="","",J57+I57)</f>
        <v/>
      </c>
      <c r="L57">
        <f>IF(K57="","",K57*Settings!$B$2)</f>
        <v/>
      </c>
      <c r="M57">
        <f>IF(D57="","",D57/E57*F57)</f>
        <v/>
      </c>
      <c r="N57">
        <f>IF(K57="","",IF(G57="Y",0,IF(D57&lt;Settings!$B$5,Settings!$B$3,Settings!$B$4)))</f>
        <v/>
      </c>
      <c r="O57">
        <f>IF(K57="","",IF(G57="Y",Settings!$B$7,Settings!$B$6))</f>
        <v/>
      </c>
      <c r="P57">
        <f>IF(K57="","",K57-L57-M57-N57-O57)</f>
        <v/>
      </c>
      <c r="Q57">
        <f>IF(P57="","",IF(P57&gt;=Settings!$B$8,"PASS","FAIL"))</f>
        <v/>
      </c>
    </row>
    <row r="58">
      <c r="I58">
        <f>IF(G58="Y",0,Settings!$B$6)</f>
        <v/>
      </c>
      <c r="J58">
        <f>IF(H58="","",H58-I58)</f>
        <v/>
      </c>
      <c r="K58">
        <f>IF(J58="","",J58+I58)</f>
        <v/>
      </c>
      <c r="L58">
        <f>IF(K58="","",K58*Settings!$B$2)</f>
        <v/>
      </c>
      <c r="M58">
        <f>IF(D58="","",D58/E58*F58)</f>
        <v/>
      </c>
      <c r="N58">
        <f>IF(K58="","",IF(G58="Y",0,IF(D58&lt;Settings!$B$5,Settings!$B$3,Settings!$B$4)))</f>
        <v/>
      </c>
      <c r="O58">
        <f>IF(K58="","",IF(G58="Y",Settings!$B$7,Settings!$B$6))</f>
        <v/>
      </c>
      <c r="P58">
        <f>IF(K58="","",K58-L58-M58-N58-O58)</f>
        <v/>
      </c>
      <c r="Q58">
        <f>IF(P58="","",IF(P58&gt;=Settings!$B$8,"PASS","FAIL"))</f>
        <v/>
      </c>
    </row>
    <row r="59">
      <c r="I59">
        <f>IF(G59="Y",0,Settings!$B$6)</f>
        <v/>
      </c>
      <c r="J59">
        <f>IF(H59="","",H59-I59)</f>
        <v/>
      </c>
      <c r="K59">
        <f>IF(J59="","",J59+I59)</f>
        <v/>
      </c>
      <c r="L59">
        <f>IF(K59="","",K59*Settings!$B$2)</f>
        <v/>
      </c>
      <c r="M59">
        <f>IF(D59="","",D59/E59*F59)</f>
        <v/>
      </c>
      <c r="N59">
        <f>IF(K59="","",IF(G59="Y",0,IF(D59&lt;Settings!$B$5,Settings!$B$3,Settings!$B$4)))</f>
        <v/>
      </c>
      <c r="O59">
        <f>IF(K59="","",IF(G59="Y",Settings!$B$7,Settings!$B$6))</f>
        <v/>
      </c>
      <c r="P59">
        <f>IF(K59="","",K59-L59-M59-N59-O59)</f>
        <v/>
      </c>
      <c r="Q59">
        <f>IF(P59="","",IF(P59&gt;=Settings!$B$8,"PASS","FAIL"))</f>
        <v/>
      </c>
    </row>
    <row r="60">
      <c r="I60">
        <f>IF(G60="Y",0,Settings!$B$6)</f>
        <v/>
      </c>
      <c r="J60">
        <f>IF(H60="","",H60-I60)</f>
        <v/>
      </c>
      <c r="K60">
        <f>IF(J60="","",J60+I60)</f>
        <v/>
      </c>
      <c r="L60">
        <f>IF(K60="","",K60*Settings!$B$2)</f>
        <v/>
      </c>
      <c r="M60">
        <f>IF(D60="","",D60/E60*F60)</f>
        <v/>
      </c>
      <c r="N60">
        <f>IF(K60="","",IF(G60="Y",0,IF(D60&lt;Settings!$B$5,Settings!$B$3,Settings!$B$4)))</f>
        <v/>
      </c>
      <c r="O60">
        <f>IF(K60="","",IF(G60="Y",Settings!$B$7,Settings!$B$6))</f>
        <v/>
      </c>
      <c r="P60">
        <f>IF(K60="","",K60-L60-M60-N60-O60)</f>
        <v/>
      </c>
      <c r="Q60">
        <f>IF(P60="","",IF(P60&gt;=Settings!$B$8,"PASS","FAIL"))</f>
        <v/>
      </c>
    </row>
    <row r="61">
      <c r="I61">
        <f>IF(G61="Y",0,Settings!$B$6)</f>
        <v/>
      </c>
      <c r="J61">
        <f>IF(H61="","",H61-I61)</f>
        <v/>
      </c>
      <c r="K61">
        <f>IF(J61="","",J61+I61)</f>
        <v/>
      </c>
      <c r="L61">
        <f>IF(K61="","",K61*Settings!$B$2)</f>
        <v/>
      </c>
      <c r="M61">
        <f>IF(D61="","",D61/E61*F61)</f>
        <v/>
      </c>
      <c r="N61">
        <f>IF(K61="","",IF(G61="Y",0,IF(D61&lt;Settings!$B$5,Settings!$B$3,Settings!$B$4)))</f>
        <v/>
      </c>
      <c r="O61">
        <f>IF(K61="","",IF(G61="Y",Settings!$B$7,Settings!$B$6))</f>
        <v/>
      </c>
      <c r="P61">
        <f>IF(K61="","",K61-L61-M61-N61-O61)</f>
        <v/>
      </c>
      <c r="Q61">
        <f>IF(P61="","",IF(P61&gt;=Settings!$B$8,"PASS","FAIL"))</f>
        <v/>
      </c>
    </row>
    <row r="62">
      <c r="I62">
        <f>IF(G62="Y",0,Settings!$B$6)</f>
        <v/>
      </c>
      <c r="J62">
        <f>IF(H62="","",H62-I62)</f>
        <v/>
      </c>
      <c r="K62">
        <f>IF(J62="","",J62+I62)</f>
        <v/>
      </c>
      <c r="L62">
        <f>IF(K62="","",K62*Settings!$B$2)</f>
        <v/>
      </c>
      <c r="M62">
        <f>IF(D62="","",D62/E62*F62)</f>
        <v/>
      </c>
      <c r="N62">
        <f>IF(K62="","",IF(G62="Y",0,IF(D62&lt;Settings!$B$5,Settings!$B$3,Settings!$B$4)))</f>
        <v/>
      </c>
      <c r="O62">
        <f>IF(K62="","",IF(G62="Y",Settings!$B$7,Settings!$B$6))</f>
        <v/>
      </c>
      <c r="P62">
        <f>IF(K62="","",K62-L62-M62-N62-O62)</f>
        <v/>
      </c>
      <c r="Q62">
        <f>IF(P62="","",IF(P62&gt;=Settings!$B$8,"PASS","FAIL"))</f>
        <v/>
      </c>
    </row>
    <row r="63">
      <c r="I63">
        <f>IF(G63="Y",0,Settings!$B$6)</f>
        <v/>
      </c>
      <c r="J63">
        <f>IF(H63="","",H63-I63)</f>
        <v/>
      </c>
      <c r="K63">
        <f>IF(J63="","",J63+I63)</f>
        <v/>
      </c>
      <c r="L63">
        <f>IF(K63="","",K63*Settings!$B$2)</f>
        <v/>
      </c>
      <c r="M63">
        <f>IF(D63="","",D63/E63*F63)</f>
        <v/>
      </c>
      <c r="N63">
        <f>IF(K63="","",IF(G63="Y",0,IF(D63&lt;Settings!$B$5,Settings!$B$3,Settings!$B$4)))</f>
        <v/>
      </c>
      <c r="O63">
        <f>IF(K63="","",IF(G63="Y",Settings!$B$7,Settings!$B$6))</f>
        <v/>
      </c>
      <c r="P63">
        <f>IF(K63="","",K63-L63-M63-N63-O63)</f>
        <v/>
      </c>
      <c r="Q63">
        <f>IF(P63="","",IF(P63&gt;=Settings!$B$8,"PASS","FAIL"))</f>
        <v/>
      </c>
    </row>
    <row r="64">
      <c r="I64">
        <f>IF(G64="Y",0,Settings!$B$6)</f>
        <v/>
      </c>
      <c r="J64">
        <f>IF(H64="","",H64-I64)</f>
        <v/>
      </c>
      <c r="K64">
        <f>IF(J64="","",J64+I64)</f>
        <v/>
      </c>
      <c r="L64">
        <f>IF(K64="","",K64*Settings!$B$2)</f>
        <v/>
      </c>
      <c r="M64">
        <f>IF(D64="","",D64/E64*F64)</f>
        <v/>
      </c>
      <c r="N64">
        <f>IF(K64="","",IF(G64="Y",0,IF(D64&lt;Settings!$B$5,Settings!$B$3,Settings!$B$4)))</f>
        <v/>
      </c>
      <c r="O64">
        <f>IF(K64="","",IF(G64="Y",Settings!$B$7,Settings!$B$6))</f>
        <v/>
      </c>
      <c r="P64">
        <f>IF(K64="","",K64-L64-M64-N64-O64)</f>
        <v/>
      </c>
      <c r="Q64">
        <f>IF(P64="","",IF(P64&gt;=Settings!$B$8,"PASS","FAIL"))</f>
        <v/>
      </c>
    </row>
    <row r="65">
      <c r="I65">
        <f>IF(G65="Y",0,Settings!$B$6)</f>
        <v/>
      </c>
      <c r="J65">
        <f>IF(H65="","",H65-I65)</f>
        <v/>
      </c>
      <c r="K65">
        <f>IF(J65="","",J65+I65)</f>
        <v/>
      </c>
      <c r="L65">
        <f>IF(K65="","",K65*Settings!$B$2)</f>
        <v/>
      </c>
      <c r="M65">
        <f>IF(D65="","",D65/E65*F65)</f>
        <v/>
      </c>
      <c r="N65">
        <f>IF(K65="","",IF(G65="Y",0,IF(D65&lt;Settings!$B$5,Settings!$B$3,Settings!$B$4)))</f>
        <v/>
      </c>
      <c r="O65">
        <f>IF(K65="","",IF(G65="Y",Settings!$B$7,Settings!$B$6))</f>
        <v/>
      </c>
      <c r="P65">
        <f>IF(K65="","",K65-L65-M65-N65-O65)</f>
        <v/>
      </c>
      <c r="Q65">
        <f>IF(P65="","",IF(P65&gt;=Settings!$B$8,"PASS","FAIL"))</f>
        <v/>
      </c>
    </row>
    <row r="66">
      <c r="I66">
        <f>IF(G66="Y",0,Settings!$B$6)</f>
        <v/>
      </c>
      <c r="J66">
        <f>IF(H66="","",H66-I66)</f>
        <v/>
      </c>
      <c r="K66">
        <f>IF(J66="","",J66+I66)</f>
        <v/>
      </c>
      <c r="L66">
        <f>IF(K66="","",K66*Settings!$B$2)</f>
        <v/>
      </c>
      <c r="M66">
        <f>IF(D66="","",D66/E66*F66)</f>
        <v/>
      </c>
      <c r="N66">
        <f>IF(K66="","",IF(G66="Y",0,IF(D66&lt;Settings!$B$5,Settings!$B$3,Settings!$B$4)))</f>
        <v/>
      </c>
      <c r="O66">
        <f>IF(K66="","",IF(G66="Y",Settings!$B$7,Settings!$B$6))</f>
        <v/>
      </c>
      <c r="P66">
        <f>IF(K66="","",K66-L66-M66-N66-O66)</f>
        <v/>
      </c>
      <c r="Q66">
        <f>IF(P66="","",IF(P66&gt;=Settings!$B$8,"PASS","FAIL"))</f>
        <v/>
      </c>
    </row>
    <row r="67">
      <c r="I67">
        <f>IF(G67="Y",0,Settings!$B$6)</f>
        <v/>
      </c>
      <c r="J67">
        <f>IF(H67="","",H67-I67)</f>
        <v/>
      </c>
      <c r="K67">
        <f>IF(J67="","",J67+I67)</f>
        <v/>
      </c>
      <c r="L67">
        <f>IF(K67="","",K67*Settings!$B$2)</f>
        <v/>
      </c>
      <c r="M67">
        <f>IF(D67="","",D67/E67*F67)</f>
        <v/>
      </c>
      <c r="N67">
        <f>IF(K67="","",IF(G67="Y",0,IF(D67&lt;Settings!$B$5,Settings!$B$3,Settings!$B$4)))</f>
        <v/>
      </c>
      <c r="O67">
        <f>IF(K67="","",IF(G67="Y",Settings!$B$7,Settings!$B$6))</f>
        <v/>
      </c>
      <c r="P67">
        <f>IF(K67="","",K67-L67-M67-N67-O67)</f>
        <v/>
      </c>
      <c r="Q67">
        <f>IF(P67="","",IF(P67&gt;=Settings!$B$8,"PASS","FAIL"))</f>
        <v/>
      </c>
    </row>
    <row r="68">
      <c r="I68">
        <f>IF(G68="Y",0,Settings!$B$6)</f>
        <v/>
      </c>
      <c r="J68">
        <f>IF(H68="","",H68-I68)</f>
        <v/>
      </c>
      <c r="K68">
        <f>IF(J68="","",J68+I68)</f>
        <v/>
      </c>
      <c r="L68">
        <f>IF(K68="","",K68*Settings!$B$2)</f>
        <v/>
      </c>
      <c r="M68">
        <f>IF(D68="","",D68/E68*F68)</f>
        <v/>
      </c>
      <c r="N68">
        <f>IF(K68="","",IF(G68="Y",0,IF(D68&lt;Settings!$B$5,Settings!$B$3,Settings!$B$4)))</f>
        <v/>
      </c>
      <c r="O68">
        <f>IF(K68="","",IF(G68="Y",Settings!$B$7,Settings!$B$6))</f>
        <v/>
      </c>
      <c r="P68">
        <f>IF(K68="","",K68-L68-M68-N68-O68)</f>
        <v/>
      </c>
      <c r="Q68">
        <f>IF(P68="","",IF(P68&gt;=Settings!$B$8,"PASS","FAIL"))</f>
        <v/>
      </c>
    </row>
    <row r="69">
      <c r="I69">
        <f>IF(G69="Y",0,Settings!$B$6)</f>
        <v/>
      </c>
      <c r="J69">
        <f>IF(H69="","",H69-I69)</f>
        <v/>
      </c>
      <c r="K69">
        <f>IF(J69="","",J69+I69)</f>
        <v/>
      </c>
      <c r="L69">
        <f>IF(K69="","",K69*Settings!$B$2)</f>
        <v/>
      </c>
      <c r="M69">
        <f>IF(D69="","",D69/E69*F69)</f>
        <v/>
      </c>
      <c r="N69">
        <f>IF(K69="","",IF(G69="Y",0,IF(D69&lt;Settings!$B$5,Settings!$B$3,Settings!$B$4)))</f>
        <v/>
      </c>
      <c r="O69">
        <f>IF(K69="","",IF(G69="Y",Settings!$B$7,Settings!$B$6))</f>
        <v/>
      </c>
      <c r="P69">
        <f>IF(K69="","",K69-L69-M69-N69-O69)</f>
        <v/>
      </c>
      <c r="Q69">
        <f>IF(P69="","",IF(P69&gt;=Settings!$B$8,"PASS","FAIL"))</f>
        <v/>
      </c>
    </row>
    <row r="70">
      <c r="I70">
        <f>IF(G70="Y",0,Settings!$B$6)</f>
        <v/>
      </c>
      <c r="J70">
        <f>IF(H70="","",H70-I70)</f>
        <v/>
      </c>
      <c r="K70">
        <f>IF(J70="","",J70+I70)</f>
        <v/>
      </c>
      <c r="L70">
        <f>IF(K70="","",K70*Settings!$B$2)</f>
        <v/>
      </c>
      <c r="M70">
        <f>IF(D70="","",D70/E70*F70)</f>
        <v/>
      </c>
      <c r="N70">
        <f>IF(K70="","",IF(G70="Y",0,IF(D70&lt;Settings!$B$5,Settings!$B$3,Settings!$B$4)))</f>
        <v/>
      </c>
      <c r="O70">
        <f>IF(K70="","",IF(G70="Y",Settings!$B$7,Settings!$B$6))</f>
        <v/>
      </c>
      <c r="P70">
        <f>IF(K70="","",K70-L70-M70-N70-O70)</f>
        <v/>
      </c>
      <c r="Q70">
        <f>IF(P70="","",IF(P70&gt;=Settings!$B$8,"PASS","FAIL"))</f>
        <v/>
      </c>
    </row>
    <row r="71">
      <c r="I71">
        <f>IF(G71="Y",0,Settings!$B$6)</f>
        <v/>
      </c>
      <c r="J71">
        <f>IF(H71="","",H71-I71)</f>
        <v/>
      </c>
      <c r="K71">
        <f>IF(J71="","",J71+I71)</f>
        <v/>
      </c>
      <c r="L71">
        <f>IF(K71="","",K71*Settings!$B$2)</f>
        <v/>
      </c>
      <c r="M71">
        <f>IF(D71="","",D71/E71*F71)</f>
        <v/>
      </c>
      <c r="N71">
        <f>IF(K71="","",IF(G71="Y",0,IF(D71&lt;Settings!$B$5,Settings!$B$3,Settings!$B$4)))</f>
        <v/>
      </c>
      <c r="O71">
        <f>IF(K71="","",IF(G71="Y",Settings!$B$7,Settings!$B$6))</f>
        <v/>
      </c>
      <c r="P71">
        <f>IF(K71="","",K71-L71-M71-N71-O71)</f>
        <v/>
      </c>
      <c r="Q71">
        <f>IF(P71="","",IF(P71&gt;=Settings!$B$8,"PASS","FAIL"))</f>
        <v/>
      </c>
    </row>
    <row r="72">
      <c r="I72">
        <f>IF(G72="Y",0,Settings!$B$6)</f>
        <v/>
      </c>
      <c r="J72">
        <f>IF(H72="","",H72-I72)</f>
        <v/>
      </c>
      <c r="K72">
        <f>IF(J72="","",J72+I72)</f>
        <v/>
      </c>
      <c r="L72">
        <f>IF(K72="","",K72*Settings!$B$2)</f>
        <v/>
      </c>
      <c r="M72">
        <f>IF(D72="","",D72/E72*F72)</f>
        <v/>
      </c>
      <c r="N72">
        <f>IF(K72="","",IF(G72="Y",0,IF(D72&lt;Settings!$B$5,Settings!$B$3,Settings!$B$4)))</f>
        <v/>
      </c>
      <c r="O72">
        <f>IF(K72="","",IF(G72="Y",Settings!$B$7,Settings!$B$6))</f>
        <v/>
      </c>
      <c r="P72">
        <f>IF(K72="","",K72-L72-M72-N72-O72)</f>
        <v/>
      </c>
      <c r="Q72">
        <f>IF(P72="","",IF(P72&gt;=Settings!$B$8,"PASS","FAIL"))</f>
        <v/>
      </c>
    </row>
    <row r="73">
      <c r="I73">
        <f>IF(G73="Y",0,Settings!$B$6)</f>
        <v/>
      </c>
      <c r="J73">
        <f>IF(H73="","",H73-I73)</f>
        <v/>
      </c>
      <c r="K73">
        <f>IF(J73="","",J73+I73)</f>
        <v/>
      </c>
      <c r="L73">
        <f>IF(K73="","",K73*Settings!$B$2)</f>
        <v/>
      </c>
      <c r="M73">
        <f>IF(D73="","",D73/E73*F73)</f>
        <v/>
      </c>
      <c r="N73">
        <f>IF(K73="","",IF(G73="Y",0,IF(D73&lt;Settings!$B$5,Settings!$B$3,Settings!$B$4)))</f>
        <v/>
      </c>
      <c r="O73">
        <f>IF(K73="","",IF(G73="Y",Settings!$B$7,Settings!$B$6))</f>
        <v/>
      </c>
      <c r="P73">
        <f>IF(K73="","",K73-L73-M73-N73-O73)</f>
        <v/>
      </c>
      <c r="Q73">
        <f>IF(P73="","",IF(P73&gt;=Settings!$B$8,"PASS","FAIL"))</f>
        <v/>
      </c>
    </row>
    <row r="74">
      <c r="I74">
        <f>IF(G74="Y",0,Settings!$B$6)</f>
        <v/>
      </c>
      <c r="J74">
        <f>IF(H74="","",H74-I74)</f>
        <v/>
      </c>
      <c r="K74">
        <f>IF(J74="","",J74+I74)</f>
        <v/>
      </c>
      <c r="L74">
        <f>IF(K74="","",K74*Settings!$B$2)</f>
        <v/>
      </c>
      <c r="M74">
        <f>IF(D74="","",D74/E74*F74)</f>
        <v/>
      </c>
      <c r="N74">
        <f>IF(K74="","",IF(G74="Y",0,IF(D74&lt;Settings!$B$5,Settings!$B$3,Settings!$B$4)))</f>
        <v/>
      </c>
      <c r="O74">
        <f>IF(K74="","",IF(G74="Y",Settings!$B$7,Settings!$B$6))</f>
        <v/>
      </c>
      <c r="P74">
        <f>IF(K74="","",K74-L74-M74-N74-O74)</f>
        <v/>
      </c>
      <c r="Q74">
        <f>IF(P74="","",IF(P74&gt;=Settings!$B$8,"PASS","FAIL"))</f>
        <v/>
      </c>
    </row>
    <row r="75">
      <c r="I75">
        <f>IF(G75="Y",0,Settings!$B$6)</f>
        <v/>
      </c>
      <c r="J75">
        <f>IF(H75="","",H75-I75)</f>
        <v/>
      </c>
      <c r="K75">
        <f>IF(J75="","",J75+I75)</f>
        <v/>
      </c>
      <c r="L75">
        <f>IF(K75="","",K75*Settings!$B$2)</f>
        <v/>
      </c>
      <c r="M75">
        <f>IF(D75="","",D75/E75*F75)</f>
        <v/>
      </c>
      <c r="N75">
        <f>IF(K75="","",IF(G75="Y",0,IF(D75&lt;Settings!$B$5,Settings!$B$3,Settings!$B$4)))</f>
        <v/>
      </c>
      <c r="O75">
        <f>IF(K75="","",IF(G75="Y",Settings!$B$7,Settings!$B$6))</f>
        <v/>
      </c>
      <c r="P75">
        <f>IF(K75="","",K75-L75-M75-N75-O75)</f>
        <v/>
      </c>
      <c r="Q75">
        <f>IF(P75="","",IF(P75&gt;=Settings!$B$8,"PASS","FAIL"))</f>
        <v/>
      </c>
    </row>
    <row r="76">
      <c r="I76">
        <f>IF(G76="Y",0,Settings!$B$6)</f>
        <v/>
      </c>
      <c r="J76">
        <f>IF(H76="","",H76-I76)</f>
        <v/>
      </c>
      <c r="K76">
        <f>IF(J76="","",J76+I76)</f>
        <v/>
      </c>
      <c r="L76">
        <f>IF(K76="","",K76*Settings!$B$2)</f>
        <v/>
      </c>
      <c r="M76">
        <f>IF(D76="","",D76/E76*F76)</f>
        <v/>
      </c>
      <c r="N76">
        <f>IF(K76="","",IF(G76="Y",0,IF(D76&lt;Settings!$B$5,Settings!$B$3,Settings!$B$4)))</f>
        <v/>
      </c>
      <c r="O76">
        <f>IF(K76="","",IF(G76="Y",Settings!$B$7,Settings!$B$6))</f>
        <v/>
      </c>
      <c r="P76">
        <f>IF(K76="","",K76-L76-M76-N76-O76)</f>
        <v/>
      </c>
      <c r="Q76">
        <f>IF(P76="","",IF(P76&gt;=Settings!$B$8,"PASS","FAIL"))</f>
        <v/>
      </c>
    </row>
    <row r="77">
      <c r="I77">
        <f>IF(G77="Y",0,Settings!$B$6)</f>
        <v/>
      </c>
      <c r="J77">
        <f>IF(H77="","",H77-I77)</f>
        <v/>
      </c>
      <c r="K77">
        <f>IF(J77="","",J77+I77)</f>
        <v/>
      </c>
      <c r="L77">
        <f>IF(K77="","",K77*Settings!$B$2)</f>
        <v/>
      </c>
      <c r="M77">
        <f>IF(D77="","",D77/E77*F77)</f>
        <v/>
      </c>
      <c r="N77">
        <f>IF(K77="","",IF(G77="Y",0,IF(D77&lt;Settings!$B$5,Settings!$B$3,Settings!$B$4)))</f>
        <v/>
      </c>
      <c r="O77">
        <f>IF(K77="","",IF(G77="Y",Settings!$B$7,Settings!$B$6))</f>
        <v/>
      </c>
      <c r="P77">
        <f>IF(K77="","",K77-L77-M77-N77-O77)</f>
        <v/>
      </c>
      <c r="Q77">
        <f>IF(P77="","",IF(P77&gt;=Settings!$B$8,"PASS","FAIL"))</f>
        <v/>
      </c>
    </row>
    <row r="78">
      <c r="I78">
        <f>IF(G78="Y",0,Settings!$B$6)</f>
        <v/>
      </c>
      <c r="J78">
        <f>IF(H78="","",H78-I78)</f>
        <v/>
      </c>
      <c r="K78">
        <f>IF(J78="","",J78+I78)</f>
        <v/>
      </c>
      <c r="L78">
        <f>IF(K78="","",K78*Settings!$B$2)</f>
        <v/>
      </c>
      <c r="M78">
        <f>IF(D78="","",D78/E78*F78)</f>
        <v/>
      </c>
      <c r="N78">
        <f>IF(K78="","",IF(G78="Y",0,IF(D78&lt;Settings!$B$5,Settings!$B$3,Settings!$B$4)))</f>
        <v/>
      </c>
      <c r="O78">
        <f>IF(K78="","",IF(G78="Y",Settings!$B$7,Settings!$B$6))</f>
        <v/>
      </c>
      <c r="P78">
        <f>IF(K78="","",K78-L78-M78-N78-O78)</f>
        <v/>
      </c>
      <c r="Q78">
        <f>IF(P78="","",IF(P78&gt;=Settings!$B$8,"PASS","FAIL"))</f>
        <v/>
      </c>
    </row>
    <row r="79">
      <c r="I79">
        <f>IF(G79="Y",0,Settings!$B$6)</f>
        <v/>
      </c>
      <c r="J79">
        <f>IF(H79="","",H79-I79)</f>
        <v/>
      </c>
      <c r="K79">
        <f>IF(J79="","",J79+I79)</f>
        <v/>
      </c>
      <c r="L79">
        <f>IF(K79="","",K79*Settings!$B$2)</f>
        <v/>
      </c>
      <c r="M79">
        <f>IF(D79="","",D79/E79*F79)</f>
        <v/>
      </c>
      <c r="N79">
        <f>IF(K79="","",IF(G79="Y",0,IF(D79&lt;Settings!$B$5,Settings!$B$3,Settings!$B$4)))</f>
        <v/>
      </c>
      <c r="O79">
        <f>IF(K79="","",IF(G79="Y",Settings!$B$7,Settings!$B$6))</f>
        <v/>
      </c>
      <c r="P79">
        <f>IF(K79="","",K79-L79-M79-N79-O79)</f>
        <v/>
      </c>
      <c r="Q79">
        <f>IF(P79="","",IF(P79&gt;=Settings!$B$8,"PASS","FAIL"))</f>
        <v/>
      </c>
    </row>
    <row r="80">
      <c r="I80">
        <f>IF(G80="Y",0,Settings!$B$6)</f>
        <v/>
      </c>
      <c r="J80">
        <f>IF(H80="","",H80-I80)</f>
        <v/>
      </c>
      <c r="K80">
        <f>IF(J80="","",J80+I80)</f>
        <v/>
      </c>
      <c r="L80">
        <f>IF(K80="","",K80*Settings!$B$2)</f>
        <v/>
      </c>
      <c r="M80">
        <f>IF(D80="","",D80/E80*F80)</f>
        <v/>
      </c>
      <c r="N80">
        <f>IF(K80="","",IF(G80="Y",0,IF(D80&lt;Settings!$B$5,Settings!$B$3,Settings!$B$4)))</f>
        <v/>
      </c>
      <c r="O80">
        <f>IF(K80="","",IF(G80="Y",Settings!$B$7,Settings!$B$6))</f>
        <v/>
      </c>
      <c r="P80">
        <f>IF(K80="","",K80-L80-M80-N80-O80)</f>
        <v/>
      </c>
      <c r="Q80">
        <f>IF(P80="","",IF(P80&gt;=Settings!$B$8,"PASS","FAIL"))</f>
        <v/>
      </c>
    </row>
    <row r="81">
      <c r="I81">
        <f>IF(G81="Y",0,Settings!$B$6)</f>
        <v/>
      </c>
      <c r="J81">
        <f>IF(H81="","",H81-I81)</f>
        <v/>
      </c>
      <c r="K81">
        <f>IF(J81="","",J81+I81)</f>
        <v/>
      </c>
      <c r="L81">
        <f>IF(K81="","",K81*Settings!$B$2)</f>
        <v/>
      </c>
      <c r="M81">
        <f>IF(D81="","",D81/E81*F81)</f>
        <v/>
      </c>
      <c r="N81">
        <f>IF(K81="","",IF(G81="Y",0,IF(D81&lt;Settings!$B$5,Settings!$B$3,Settings!$B$4)))</f>
        <v/>
      </c>
      <c r="O81">
        <f>IF(K81="","",IF(G81="Y",Settings!$B$7,Settings!$B$6))</f>
        <v/>
      </c>
      <c r="P81">
        <f>IF(K81="","",K81-L81-M81-N81-O81)</f>
        <v/>
      </c>
      <c r="Q81">
        <f>IF(P81="","",IF(P81&gt;=Settings!$B$8,"PASS","FAIL"))</f>
        <v/>
      </c>
    </row>
    <row r="82">
      <c r="I82">
        <f>IF(G82="Y",0,Settings!$B$6)</f>
        <v/>
      </c>
      <c r="J82">
        <f>IF(H82="","",H82-I82)</f>
        <v/>
      </c>
      <c r="K82">
        <f>IF(J82="","",J82+I82)</f>
        <v/>
      </c>
      <c r="L82">
        <f>IF(K82="","",K82*Settings!$B$2)</f>
        <v/>
      </c>
      <c r="M82">
        <f>IF(D82="","",D82/E82*F82)</f>
        <v/>
      </c>
      <c r="N82">
        <f>IF(K82="","",IF(G82="Y",0,IF(D82&lt;Settings!$B$5,Settings!$B$3,Settings!$B$4)))</f>
        <v/>
      </c>
      <c r="O82">
        <f>IF(K82="","",IF(G82="Y",Settings!$B$7,Settings!$B$6))</f>
        <v/>
      </c>
      <c r="P82">
        <f>IF(K82="","",K82-L82-M82-N82-O82)</f>
        <v/>
      </c>
      <c r="Q82">
        <f>IF(P82="","",IF(P82&gt;=Settings!$B$8,"PASS","FAIL"))</f>
        <v/>
      </c>
    </row>
    <row r="83">
      <c r="I83">
        <f>IF(G83="Y",0,Settings!$B$6)</f>
        <v/>
      </c>
      <c r="J83">
        <f>IF(H83="","",H83-I83)</f>
        <v/>
      </c>
      <c r="K83">
        <f>IF(J83="","",J83+I83)</f>
        <v/>
      </c>
      <c r="L83">
        <f>IF(K83="","",K83*Settings!$B$2)</f>
        <v/>
      </c>
      <c r="M83">
        <f>IF(D83="","",D83/E83*F83)</f>
        <v/>
      </c>
      <c r="N83">
        <f>IF(K83="","",IF(G83="Y",0,IF(D83&lt;Settings!$B$5,Settings!$B$3,Settings!$B$4)))</f>
        <v/>
      </c>
      <c r="O83">
        <f>IF(K83="","",IF(G83="Y",Settings!$B$7,Settings!$B$6))</f>
        <v/>
      </c>
      <c r="P83">
        <f>IF(K83="","",K83-L83-M83-N83-O83)</f>
        <v/>
      </c>
      <c r="Q83">
        <f>IF(P83="","",IF(P83&gt;=Settings!$B$8,"PASS","FAIL"))</f>
        <v/>
      </c>
    </row>
    <row r="84">
      <c r="I84">
        <f>IF(G84="Y",0,Settings!$B$6)</f>
        <v/>
      </c>
      <c r="J84">
        <f>IF(H84="","",H84-I84)</f>
        <v/>
      </c>
      <c r="K84">
        <f>IF(J84="","",J84+I84)</f>
        <v/>
      </c>
      <c r="L84">
        <f>IF(K84="","",K84*Settings!$B$2)</f>
        <v/>
      </c>
      <c r="M84">
        <f>IF(D84="","",D84/E84*F84)</f>
        <v/>
      </c>
      <c r="N84">
        <f>IF(K84="","",IF(G84="Y",0,IF(D84&lt;Settings!$B$5,Settings!$B$3,Settings!$B$4)))</f>
        <v/>
      </c>
      <c r="O84">
        <f>IF(K84="","",IF(G84="Y",Settings!$B$7,Settings!$B$6))</f>
        <v/>
      </c>
      <c r="P84">
        <f>IF(K84="","",K84-L84-M84-N84-O84)</f>
        <v/>
      </c>
      <c r="Q84">
        <f>IF(P84="","",IF(P84&gt;=Settings!$B$8,"PASS","FAIL"))</f>
        <v/>
      </c>
    </row>
    <row r="85">
      <c r="I85">
        <f>IF(G85="Y",0,Settings!$B$6)</f>
        <v/>
      </c>
      <c r="J85">
        <f>IF(H85="","",H85-I85)</f>
        <v/>
      </c>
      <c r="K85">
        <f>IF(J85="","",J85+I85)</f>
        <v/>
      </c>
      <c r="L85">
        <f>IF(K85="","",K85*Settings!$B$2)</f>
        <v/>
      </c>
      <c r="M85">
        <f>IF(D85="","",D85/E85*F85)</f>
        <v/>
      </c>
      <c r="N85">
        <f>IF(K85="","",IF(G85="Y",0,IF(D85&lt;Settings!$B$5,Settings!$B$3,Settings!$B$4)))</f>
        <v/>
      </c>
      <c r="O85">
        <f>IF(K85="","",IF(G85="Y",Settings!$B$7,Settings!$B$6))</f>
        <v/>
      </c>
      <c r="P85">
        <f>IF(K85="","",K85-L85-M85-N85-O85)</f>
        <v/>
      </c>
      <c r="Q85">
        <f>IF(P85="","",IF(P85&gt;=Settings!$B$8,"PASS","FAIL"))</f>
        <v/>
      </c>
    </row>
    <row r="86">
      <c r="I86">
        <f>IF(G86="Y",0,Settings!$B$6)</f>
        <v/>
      </c>
      <c r="J86">
        <f>IF(H86="","",H86-I86)</f>
        <v/>
      </c>
      <c r="K86">
        <f>IF(J86="","",J86+I86)</f>
        <v/>
      </c>
      <c r="L86">
        <f>IF(K86="","",K86*Settings!$B$2)</f>
        <v/>
      </c>
      <c r="M86">
        <f>IF(D86="","",D86/E86*F86)</f>
        <v/>
      </c>
      <c r="N86">
        <f>IF(K86="","",IF(G86="Y",0,IF(D86&lt;Settings!$B$5,Settings!$B$3,Settings!$B$4)))</f>
        <v/>
      </c>
      <c r="O86">
        <f>IF(K86="","",IF(G86="Y",Settings!$B$7,Settings!$B$6))</f>
        <v/>
      </c>
      <c r="P86">
        <f>IF(K86="","",K86-L86-M86-N86-O86)</f>
        <v/>
      </c>
      <c r="Q86">
        <f>IF(P86="","",IF(P86&gt;=Settings!$B$8,"PASS","FAIL"))</f>
        <v/>
      </c>
    </row>
    <row r="87">
      <c r="I87">
        <f>IF(G87="Y",0,Settings!$B$6)</f>
        <v/>
      </c>
      <c r="J87">
        <f>IF(H87="","",H87-I87)</f>
        <v/>
      </c>
      <c r="K87">
        <f>IF(J87="","",J87+I87)</f>
        <v/>
      </c>
      <c r="L87">
        <f>IF(K87="","",K87*Settings!$B$2)</f>
        <v/>
      </c>
      <c r="M87">
        <f>IF(D87="","",D87/E87*F87)</f>
        <v/>
      </c>
      <c r="N87">
        <f>IF(K87="","",IF(G87="Y",0,IF(D87&lt;Settings!$B$5,Settings!$B$3,Settings!$B$4)))</f>
        <v/>
      </c>
      <c r="O87">
        <f>IF(K87="","",IF(G87="Y",Settings!$B$7,Settings!$B$6))</f>
        <v/>
      </c>
      <c r="P87">
        <f>IF(K87="","",K87-L87-M87-N87-O87)</f>
        <v/>
      </c>
      <c r="Q87">
        <f>IF(P87="","",IF(P87&gt;=Settings!$B$8,"PASS","FAIL"))</f>
        <v/>
      </c>
    </row>
    <row r="88">
      <c r="I88">
        <f>IF(G88="Y",0,Settings!$B$6)</f>
        <v/>
      </c>
      <c r="J88">
        <f>IF(H88="","",H88-I88)</f>
        <v/>
      </c>
      <c r="K88">
        <f>IF(J88="","",J88+I88)</f>
        <v/>
      </c>
      <c r="L88">
        <f>IF(K88="","",K88*Settings!$B$2)</f>
        <v/>
      </c>
      <c r="M88">
        <f>IF(D88="","",D88/E88*F88)</f>
        <v/>
      </c>
      <c r="N88">
        <f>IF(K88="","",IF(G88="Y",0,IF(D88&lt;Settings!$B$5,Settings!$B$3,Settings!$B$4)))</f>
        <v/>
      </c>
      <c r="O88">
        <f>IF(K88="","",IF(G88="Y",Settings!$B$7,Settings!$B$6))</f>
        <v/>
      </c>
      <c r="P88">
        <f>IF(K88="","",K88-L88-M88-N88-O88)</f>
        <v/>
      </c>
      <c r="Q88">
        <f>IF(P88="","",IF(P88&gt;=Settings!$B$8,"PASS","FAIL"))</f>
        <v/>
      </c>
    </row>
    <row r="89">
      <c r="I89">
        <f>IF(G89="Y",0,Settings!$B$6)</f>
        <v/>
      </c>
      <c r="J89">
        <f>IF(H89="","",H89-I89)</f>
        <v/>
      </c>
      <c r="K89">
        <f>IF(J89="","",J89+I89)</f>
        <v/>
      </c>
      <c r="L89">
        <f>IF(K89="","",K89*Settings!$B$2)</f>
        <v/>
      </c>
      <c r="M89">
        <f>IF(D89="","",D89/E89*F89)</f>
        <v/>
      </c>
      <c r="N89">
        <f>IF(K89="","",IF(G89="Y",0,IF(D89&lt;Settings!$B$5,Settings!$B$3,Settings!$B$4)))</f>
        <v/>
      </c>
      <c r="O89">
        <f>IF(K89="","",IF(G89="Y",Settings!$B$7,Settings!$B$6))</f>
        <v/>
      </c>
      <c r="P89">
        <f>IF(K89="","",K89-L89-M89-N89-O89)</f>
        <v/>
      </c>
      <c r="Q89">
        <f>IF(P89="","",IF(P89&gt;=Settings!$B$8,"PASS","FAIL"))</f>
        <v/>
      </c>
    </row>
    <row r="90">
      <c r="I90">
        <f>IF(G90="Y",0,Settings!$B$6)</f>
        <v/>
      </c>
      <c r="J90">
        <f>IF(H90="","",H90-I90)</f>
        <v/>
      </c>
      <c r="K90">
        <f>IF(J90="","",J90+I90)</f>
        <v/>
      </c>
      <c r="L90">
        <f>IF(K90="","",K90*Settings!$B$2)</f>
        <v/>
      </c>
      <c r="M90">
        <f>IF(D90="","",D90/E90*F90)</f>
        <v/>
      </c>
      <c r="N90">
        <f>IF(K90="","",IF(G90="Y",0,IF(D90&lt;Settings!$B$5,Settings!$B$3,Settings!$B$4)))</f>
        <v/>
      </c>
      <c r="O90">
        <f>IF(K90="","",IF(G90="Y",Settings!$B$7,Settings!$B$6))</f>
        <v/>
      </c>
      <c r="P90">
        <f>IF(K90="","",K90-L90-M90-N90-O90)</f>
        <v/>
      </c>
      <c r="Q90">
        <f>IF(P90="","",IF(P90&gt;=Settings!$B$8,"PASS","FAIL"))</f>
        <v/>
      </c>
    </row>
    <row r="91">
      <c r="I91">
        <f>IF(G91="Y",0,Settings!$B$6)</f>
        <v/>
      </c>
      <c r="J91">
        <f>IF(H91="","",H91-I91)</f>
        <v/>
      </c>
      <c r="K91">
        <f>IF(J91="","",J91+I91)</f>
        <v/>
      </c>
      <c r="L91">
        <f>IF(K91="","",K91*Settings!$B$2)</f>
        <v/>
      </c>
      <c r="M91">
        <f>IF(D91="","",D91/E91*F91)</f>
        <v/>
      </c>
      <c r="N91">
        <f>IF(K91="","",IF(G91="Y",0,IF(D91&lt;Settings!$B$5,Settings!$B$3,Settings!$B$4)))</f>
        <v/>
      </c>
      <c r="O91">
        <f>IF(K91="","",IF(G91="Y",Settings!$B$7,Settings!$B$6))</f>
        <v/>
      </c>
      <c r="P91">
        <f>IF(K91="","",K91-L91-M91-N91-O91)</f>
        <v/>
      </c>
      <c r="Q91">
        <f>IF(P91="","",IF(P91&gt;=Settings!$B$8,"PASS","FAIL"))</f>
        <v/>
      </c>
    </row>
    <row r="92">
      <c r="I92">
        <f>IF(G92="Y",0,Settings!$B$6)</f>
        <v/>
      </c>
      <c r="J92">
        <f>IF(H92="","",H92-I92)</f>
        <v/>
      </c>
      <c r="K92">
        <f>IF(J92="","",J92+I92)</f>
        <v/>
      </c>
      <c r="L92">
        <f>IF(K92="","",K92*Settings!$B$2)</f>
        <v/>
      </c>
      <c r="M92">
        <f>IF(D92="","",D92/E92*F92)</f>
        <v/>
      </c>
      <c r="N92">
        <f>IF(K92="","",IF(G92="Y",0,IF(D92&lt;Settings!$B$5,Settings!$B$3,Settings!$B$4)))</f>
        <v/>
      </c>
      <c r="O92">
        <f>IF(K92="","",IF(G92="Y",Settings!$B$7,Settings!$B$6))</f>
        <v/>
      </c>
      <c r="P92">
        <f>IF(K92="","",K92-L92-M92-N92-O92)</f>
        <v/>
      </c>
      <c r="Q92">
        <f>IF(P92="","",IF(P92&gt;=Settings!$B$8,"PASS","FAIL"))</f>
        <v/>
      </c>
    </row>
    <row r="93">
      <c r="I93">
        <f>IF(G93="Y",0,Settings!$B$6)</f>
        <v/>
      </c>
      <c r="J93">
        <f>IF(H93="","",H93-I93)</f>
        <v/>
      </c>
      <c r="K93">
        <f>IF(J93="","",J93+I93)</f>
        <v/>
      </c>
      <c r="L93">
        <f>IF(K93="","",K93*Settings!$B$2)</f>
        <v/>
      </c>
      <c r="M93">
        <f>IF(D93="","",D93/E93*F93)</f>
        <v/>
      </c>
      <c r="N93">
        <f>IF(K93="","",IF(G93="Y",0,IF(D93&lt;Settings!$B$5,Settings!$B$3,Settings!$B$4)))</f>
        <v/>
      </c>
      <c r="O93">
        <f>IF(K93="","",IF(G93="Y",Settings!$B$7,Settings!$B$6))</f>
        <v/>
      </c>
      <c r="P93">
        <f>IF(K93="","",K93-L93-M93-N93-O93)</f>
        <v/>
      </c>
      <c r="Q93">
        <f>IF(P93="","",IF(P93&gt;=Settings!$B$8,"PASS","FAIL"))</f>
        <v/>
      </c>
    </row>
    <row r="94">
      <c r="I94">
        <f>IF(G94="Y",0,Settings!$B$6)</f>
        <v/>
      </c>
      <c r="J94">
        <f>IF(H94="","",H94-I94)</f>
        <v/>
      </c>
      <c r="K94">
        <f>IF(J94="","",J94+I94)</f>
        <v/>
      </c>
      <c r="L94">
        <f>IF(K94="","",K94*Settings!$B$2)</f>
        <v/>
      </c>
      <c r="M94">
        <f>IF(D94="","",D94/E94*F94)</f>
        <v/>
      </c>
      <c r="N94">
        <f>IF(K94="","",IF(G94="Y",0,IF(D94&lt;Settings!$B$5,Settings!$B$3,Settings!$B$4)))</f>
        <v/>
      </c>
      <c r="O94">
        <f>IF(K94="","",IF(G94="Y",Settings!$B$7,Settings!$B$6))</f>
        <v/>
      </c>
      <c r="P94">
        <f>IF(K94="","",K94-L94-M94-N94-O94)</f>
        <v/>
      </c>
      <c r="Q94">
        <f>IF(P94="","",IF(P94&gt;=Settings!$B$8,"PASS","FAIL"))</f>
        <v/>
      </c>
    </row>
    <row r="95">
      <c r="I95">
        <f>IF(G95="Y",0,Settings!$B$6)</f>
        <v/>
      </c>
      <c r="J95">
        <f>IF(H95="","",H95-I95)</f>
        <v/>
      </c>
      <c r="K95">
        <f>IF(J95="","",J95+I95)</f>
        <v/>
      </c>
      <c r="L95">
        <f>IF(K95="","",K95*Settings!$B$2)</f>
        <v/>
      </c>
      <c r="M95">
        <f>IF(D95="","",D95/E95*F95)</f>
        <v/>
      </c>
      <c r="N95">
        <f>IF(K95="","",IF(G95="Y",0,IF(D95&lt;Settings!$B$5,Settings!$B$3,Settings!$B$4)))</f>
        <v/>
      </c>
      <c r="O95">
        <f>IF(K95="","",IF(G95="Y",Settings!$B$7,Settings!$B$6))</f>
        <v/>
      </c>
      <c r="P95">
        <f>IF(K95="","",K95-L95-M95-N95-O95)</f>
        <v/>
      </c>
      <c r="Q95">
        <f>IF(P95="","",IF(P95&gt;=Settings!$B$8,"PASS","FAIL"))</f>
        <v/>
      </c>
    </row>
    <row r="96">
      <c r="I96">
        <f>IF(G96="Y",0,Settings!$B$6)</f>
        <v/>
      </c>
      <c r="J96">
        <f>IF(H96="","",H96-I96)</f>
        <v/>
      </c>
      <c r="K96">
        <f>IF(J96="","",J96+I96)</f>
        <v/>
      </c>
      <c r="L96">
        <f>IF(K96="","",K96*Settings!$B$2)</f>
        <v/>
      </c>
      <c r="M96">
        <f>IF(D96="","",D96/E96*F96)</f>
        <v/>
      </c>
      <c r="N96">
        <f>IF(K96="","",IF(G96="Y",0,IF(D96&lt;Settings!$B$5,Settings!$B$3,Settings!$B$4)))</f>
        <v/>
      </c>
      <c r="O96">
        <f>IF(K96="","",IF(G96="Y",Settings!$B$7,Settings!$B$6))</f>
        <v/>
      </c>
      <c r="P96">
        <f>IF(K96="","",K96-L96-M96-N96-O96)</f>
        <v/>
      </c>
      <c r="Q96">
        <f>IF(P96="","",IF(P96&gt;=Settings!$B$8,"PASS","FAIL"))</f>
        <v/>
      </c>
    </row>
    <row r="97">
      <c r="I97">
        <f>IF(G97="Y",0,Settings!$B$6)</f>
        <v/>
      </c>
      <c r="J97">
        <f>IF(H97="","",H97-I97)</f>
        <v/>
      </c>
      <c r="K97">
        <f>IF(J97="","",J97+I97)</f>
        <v/>
      </c>
      <c r="L97">
        <f>IF(K97="","",K97*Settings!$B$2)</f>
        <v/>
      </c>
      <c r="M97">
        <f>IF(D97="","",D97/E97*F97)</f>
        <v/>
      </c>
      <c r="N97">
        <f>IF(K97="","",IF(G97="Y",0,IF(D97&lt;Settings!$B$5,Settings!$B$3,Settings!$B$4)))</f>
        <v/>
      </c>
      <c r="O97">
        <f>IF(K97="","",IF(G97="Y",Settings!$B$7,Settings!$B$6))</f>
        <v/>
      </c>
      <c r="P97">
        <f>IF(K97="","",K97-L97-M97-N97-O97)</f>
        <v/>
      </c>
      <c r="Q97">
        <f>IF(P97="","",IF(P97&gt;=Settings!$B$8,"PASS","FAIL"))</f>
        <v/>
      </c>
    </row>
    <row r="98">
      <c r="I98">
        <f>IF(G98="Y",0,Settings!$B$6)</f>
        <v/>
      </c>
      <c r="J98">
        <f>IF(H98="","",H98-I98)</f>
        <v/>
      </c>
      <c r="K98">
        <f>IF(J98="","",J98+I98)</f>
        <v/>
      </c>
      <c r="L98">
        <f>IF(K98="","",K98*Settings!$B$2)</f>
        <v/>
      </c>
      <c r="M98">
        <f>IF(D98="","",D98/E98*F98)</f>
        <v/>
      </c>
      <c r="N98">
        <f>IF(K98="","",IF(G98="Y",0,IF(D98&lt;Settings!$B$5,Settings!$B$3,Settings!$B$4)))</f>
        <v/>
      </c>
      <c r="O98">
        <f>IF(K98="","",IF(G98="Y",Settings!$B$7,Settings!$B$6))</f>
        <v/>
      </c>
      <c r="P98">
        <f>IF(K98="","",K98-L98-M98-N98-O98)</f>
        <v/>
      </c>
      <c r="Q98">
        <f>IF(P98="","",IF(P98&gt;=Settings!$B$8,"PASS","FAIL"))</f>
        <v/>
      </c>
    </row>
    <row r="99">
      <c r="I99">
        <f>IF(G99="Y",0,Settings!$B$6)</f>
        <v/>
      </c>
      <c r="J99">
        <f>IF(H99="","",H99-I99)</f>
        <v/>
      </c>
      <c r="K99">
        <f>IF(J99="","",J99+I99)</f>
        <v/>
      </c>
      <c r="L99">
        <f>IF(K99="","",K99*Settings!$B$2)</f>
        <v/>
      </c>
      <c r="M99">
        <f>IF(D99="","",D99/E99*F99)</f>
        <v/>
      </c>
      <c r="N99">
        <f>IF(K99="","",IF(G99="Y",0,IF(D99&lt;Settings!$B$5,Settings!$B$3,Settings!$B$4)))</f>
        <v/>
      </c>
      <c r="O99">
        <f>IF(K99="","",IF(G99="Y",Settings!$B$7,Settings!$B$6))</f>
        <v/>
      </c>
      <c r="P99">
        <f>IF(K99="","",K99-L99-M99-N99-O99)</f>
        <v/>
      </c>
      <c r="Q99">
        <f>IF(P99="","",IF(P99&gt;=Settings!$B$8,"PASS","FAIL"))</f>
        <v/>
      </c>
    </row>
    <row r="100">
      <c r="I100">
        <f>IF(G100="Y",0,Settings!$B$6)</f>
        <v/>
      </c>
      <c r="J100">
        <f>IF(H100="","",H100-I100)</f>
        <v/>
      </c>
      <c r="K100">
        <f>IF(J100="","",J100+I100)</f>
        <v/>
      </c>
      <c r="L100">
        <f>IF(K100="","",K100*Settings!$B$2)</f>
        <v/>
      </c>
      <c r="M100">
        <f>IF(D100="","",D100/E100*F100)</f>
        <v/>
      </c>
      <c r="N100">
        <f>IF(K100="","",IF(G100="Y",0,IF(D100&lt;Settings!$B$5,Settings!$B$3,Settings!$B$4)))</f>
        <v/>
      </c>
      <c r="O100">
        <f>IF(K100="","",IF(G100="Y",Settings!$B$7,Settings!$B$6))</f>
        <v/>
      </c>
      <c r="P100">
        <f>IF(K100="","",K100-L100-M100-N100-O100)</f>
        <v/>
      </c>
      <c r="Q100">
        <f>IF(P100="","",IF(P100&gt;=Settings!$B$8,"PASS","FAIL"))</f>
        <v/>
      </c>
    </row>
    <row r="101">
      <c r="I101">
        <f>IF(G101="Y",0,Settings!$B$6)</f>
        <v/>
      </c>
      <c r="J101">
        <f>IF(H101="","",H101-I101)</f>
        <v/>
      </c>
      <c r="K101">
        <f>IF(J101="","",J101+I101)</f>
        <v/>
      </c>
      <c r="L101">
        <f>IF(K101="","",K101*Settings!$B$2)</f>
        <v/>
      </c>
      <c r="M101">
        <f>IF(D101="","",D101/E101*F101)</f>
        <v/>
      </c>
      <c r="N101">
        <f>IF(K101="","",IF(G101="Y",0,IF(D101&lt;Settings!$B$5,Settings!$B$3,Settings!$B$4)))</f>
        <v/>
      </c>
      <c r="O101">
        <f>IF(K101="","",IF(G101="Y",Settings!$B$7,Settings!$B$6))</f>
        <v/>
      </c>
      <c r="P101">
        <f>IF(K101="","",K101-L101-M101-N101-O101)</f>
        <v/>
      </c>
      <c r="Q101">
        <f>IF(P101="","",IF(P101&gt;=Settings!$B$8,"PASS","FAIL"))</f>
        <v/>
      </c>
    </row>
    <row r="102">
      <c r="I102">
        <f>IF(G102="Y",0,Settings!$B$6)</f>
        <v/>
      </c>
      <c r="J102">
        <f>IF(H102="","",H102-I102)</f>
        <v/>
      </c>
      <c r="K102">
        <f>IF(J102="","",J102+I102)</f>
        <v/>
      </c>
      <c r="L102">
        <f>IF(K102="","",K102*Settings!$B$2)</f>
        <v/>
      </c>
      <c r="M102">
        <f>IF(D102="","",D102/E102*F102)</f>
        <v/>
      </c>
      <c r="N102">
        <f>IF(K102="","",IF(G102="Y",0,IF(D102&lt;Settings!$B$5,Settings!$B$3,Settings!$B$4)))</f>
        <v/>
      </c>
      <c r="O102">
        <f>IF(K102="","",IF(G102="Y",Settings!$B$7,Settings!$B$6))</f>
        <v/>
      </c>
      <c r="P102">
        <f>IF(K102="","",K102-L102-M102-N102-O102)</f>
        <v/>
      </c>
      <c r="Q102">
        <f>IF(P102="","",IF(P102&gt;=Settings!$B$8,"PASS","FAIL"))</f>
        <v/>
      </c>
    </row>
    <row r="103">
      <c r="I103">
        <f>IF(G103="Y",0,Settings!$B$6)</f>
        <v/>
      </c>
      <c r="J103">
        <f>IF(H103="","",H103-I103)</f>
        <v/>
      </c>
      <c r="K103">
        <f>IF(J103="","",J103+I103)</f>
        <v/>
      </c>
      <c r="L103">
        <f>IF(K103="","",K103*Settings!$B$2)</f>
        <v/>
      </c>
      <c r="M103">
        <f>IF(D103="","",D103/E103*F103)</f>
        <v/>
      </c>
      <c r="N103">
        <f>IF(K103="","",IF(G103="Y",0,IF(D103&lt;Settings!$B$5,Settings!$B$3,Settings!$B$4)))</f>
        <v/>
      </c>
      <c r="O103">
        <f>IF(K103="","",IF(G103="Y",Settings!$B$7,Settings!$B$6))</f>
        <v/>
      </c>
      <c r="P103">
        <f>IF(K103="","",K103-L103-M103-N103-O103)</f>
        <v/>
      </c>
      <c r="Q103">
        <f>IF(P103="","",IF(P103&gt;=Settings!$B$8,"PASS","FAIL"))</f>
        <v/>
      </c>
    </row>
    <row r="104">
      <c r="I104">
        <f>IF(G104="Y",0,Settings!$B$6)</f>
        <v/>
      </c>
      <c r="J104">
        <f>IF(H104="","",H104-I104)</f>
        <v/>
      </c>
      <c r="K104">
        <f>IF(J104="","",J104+I104)</f>
        <v/>
      </c>
      <c r="L104">
        <f>IF(K104="","",K104*Settings!$B$2)</f>
        <v/>
      </c>
      <c r="M104">
        <f>IF(D104="","",D104/E104*F104)</f>
        <v/>
      </c>
      <c r="N104">
        <f>IF(K104="","",IF(G104="Y",0,IF(D104&lt;Settings!$B$5,Settings!$B$3,Settings!$B$4)))</f>
        <v/>
      </c>
      <c r="O104">
        <f>IF(K104="","",IF(G104="Y",Settings!$B$7,Settings!$B$6))</f>
        <v/>
      </c>
      <c r="P104">
        <f>IF(K104="","",K104-L104-M104-N104-O104)</f>
        <v/>
      </c>
      <c r="Q104">
        <f>IF(P104="","",IF(P104&gt;=Settings!$B$8,"PASS","FAIL"))</f>
        <v/>
      </c>
    </row>
    <row r="105">
      <c r="I105">
        <f>IF(G105="Y",0,Settings!$B$6)</f>
        <v/>
      </c>
      <c r="J105">
        <f>IF(H105="","",H105-I105)</f>
        <v/>
      </c>
      <c r="K105">
        <f>IF(J105="","",J105+I105)</f>
        <v/>
      </c>
      <c r="L105">
        <f>IF(K105="","",K105*Settings!$B$2)</f>
        <v/>
      </c>
      <c r="M105">
        <f>IF(D105="","",D105/E105*F105)</f>
        <v/>
      </c>
      <c r="N105">
        <f>IF(K105="","",IF(G105="Y",0,IF(D105&lt;Settings!$B$5,Settings!$B$3,Settings!$B$4)))</f>
        <v/>
      </c>
      <c r="O105">
        <f>IF(K105="","",IF(G105="Y",Settings!$B$7,Settings!$B$6))</f>
        <v/>
      </c>
      <c r="P105">
        <f>IF(K105="","",K105-L105-M105-N105-O105)</f>
        <v/>
      </c>
      <c r="Q105">
        <f>IF(P105="","",IF(P105&gt;=Settings!$B$8,"PASS","FAIL"))</f>
        <v/>
      </c>
    </row>
    <row r="106">
      <c r="I106">
        <f>IF(G106="Y",0,Settings!$B$6)</f>
        <v/>
      </c>
      <c r="J106">
        <f>IF(H106="","",H106-I106)</f>
        <v/>
      </c>
      <c r="K106">
        <f>IF(J106="","",J106+I106)</f>
        <v/>
      </c>
      <c r="L106">
        <f>IF(K106="","",K106*Settings!$B$2)</f>
        <v/>
      </c>
      <c r="M106">
        <f>IF(D106="","",D106/E106*F106)</f>
        <v/>
      </c>
      <c r="N106">
        <f>IF(K106="","",IF(G106="Y",0,IF(D106&lt;Settings!$B$5,Settings!$B$3,Settings!$B$4)))</f>
        <v/>
      </c>
      <c r="O106">
        <f>IF(K106="","",IF(G106="Y",Settings!$B$7,Settings!$B$6))</f>
        <v/>
      </c>
      <c r="P106">
        <f>IF(K106="","",K106-L106-M106-N106-O106)</f>
        <v/>
      </c>
      <c r="Q106">
        <f>IF(P106="","",IF(P106&gt;=Settings!$B$8,"PASS","FAIL"))</f>
        <v/>
      </c>
    </row>
    <row r="107">
      <c r="I107">
        <f>IF(G107="Y",0,Settings!$B$6)</f>
        <v/>
      </c>
      <c r="J107">
        <f>IF(H107="","",H107-I107)</f>
        <v/>
      </c>
      <c r="K107">
        <f>IF(J107="","",J107+I107)</f>
        <v/>
      </c>
      <c r="L107">
        <f>IF(K107="","",K107*Settings!$B$2)</f>
        <v/>
      </c>
      <c r="M107">
        <f>IF(D107="","",D107/E107*F107)</f>
        <v/>
      </c>
      <c r="N107">
        <f>IF(K107="","",IF(G107="Y",0,IF(D107&lt;Settings!$B$5,Settings!$B$3,Settings!$B$4)))</f>
        <v/>
      </c>
      <c r="O107">
        <f>IF(K107="","",IF(G107="Y",Settings!$B$7,Settings!$B$6))</f>
        <v/>
      </c>
      <c r="P107">
        <f>IF(K107="","",K107-L107-M107-N107-O107)</f>
        <v/>
      </c>
      <c r="Q107">
        <f>IF(P107="","",IF(P107&gt;=Settings!$B$8,"PASS","FAIL"))</f>
        <v/>
      </c>
    </row>
    <row r="108">
      <c r="I108">
        <f>IF(G108="Y",0,Settings!$B$6)</f>
        <v/>
      </c>
      <c r="J108">
        <f>IF(H108="","",H108-I108)</f>
        <v/>
      </c>
      <c r="K108">
        <f>IF(J108="","",J108+I108)</f>
        <v/>
      </c>
      <c r="L108">
        <f>IF(K108="","",K108*Settings!$B$2)</f>
        <v/>
      </c>
      <c r="M108">
        <f>IF(D108="","",D108/E108*F108)</f>
        <v/>
      </c>
      <c r="N108">
        <f>IF(K108="","",IF(G108="Y",0,IF(D108&lt;Settings!$B$5,Settings!$B$3,Settings!$B$4)))</f>
        <v/>
      </c>
      <c r="O108">
        <f>IF(K108="","",IF(G108="Y",Settings!$B$7,Settings!$B$6))</f>
        <v/>
      </c>
      <c r="P108">
        <f>IF(K108="","",K108-L108-M108-N108-O108)</f>
        <v/>
      </c>
      <c r="Q108">
        <f>IF(P108="","",IF(P108&gt;=Settings!$B$8,"PASS","FAIL"))</f>
        <v/>
      </c>
    </row>
    <row r="109">
      <c r="I109">
        <f>IF(G109="Y",0,Settings!$B$6)</f>
        <v/>
      </c>
      <c r="J109">
        <f>IF(H109="","",H109-I109)</f>
        <v/>
      </c>
      <c r="K109">
        <f>IF(J109="","",J109+I109)</f>
        <v/>
      </c>
      <c r="L109">
        <f>IF(K109="","",K109*Settings!$B$2)</f>
        <v/>
      </c>
      <c r="M109">
        <f>IF(D109="","",D109/E109*F109)</f>
        <v/>
      </c>
      <c r="N109">
        <f>IF(K109="","",IF(G109="Y",0,IF(D109&lt;Settings!$B$5,Settings!$B$3,Settings!$B$4)))</f>
        <v/>
      </c>
      <c r="O109">
        <f>IF(K109="","",IF(G109="Y",Settings!$B$7,Settings!$B$6))</f>
        <v/>
      </c>
      <c r="P109">
        <f>IF(K109="","",K109-L109-M109-N109-O109)</f>
        <v/>
      </c>
      <c r="Q109">
        <f>IF(P109="","",IF(P109&gt;=Settings!$B$8,"PASS","FAIL"))</f>
        <v/>
      </c>
    </row>
    <row r="110">
      <c r="I110">
        <f>IF(G110="Y",0,Settings!$B$6)</f>
        <v/>
      </c>
      <c r="J110">
        <f>IF(H110="","",H110-I110)</f>
        <v/>
      </c>
      <c r="K110">
        <f>IF(J110="","",J110+I110)</f>
        <v/>
      </c>
      <c r="L110">
        <f>IF(K110="","",K110*Settings!$B$2)</f>
        <v/>
      </c>
      <c r="M110">
        <f>IF(D110="","",D110/E110*F110)</f>
        <v/>
      </c>
      <c r="N110">
        <f>IF(K110="","",IF(G110="Y",0,IF(D110&lt;Settings!$B$5,Settings!$B$3,Settings!$B$4)))</f>
        <v/>
      </c>
      <c r="O110">
        <f>IF(K110="","",IF(G110="Y",Settings!$B$7,Settings!$B$6))</f>
        <v/>
      </c>
      <c r="P110">
        <f>IF(K110="","",K110-L110-M110-N110-O110)</f>
        <v/>
      </c>
      <c r="Q110">
        <f>IF(P110="","",IF(P110&gt;=Settings!$B$8,"PASS","FAIL"))</f>
        <v/>
      </c>
    </row>
    <row r="111">
      <c r="I111">
        <f>IF(G111="Y",0,Settings!$B$6)</f>
        <v/>
      </c>
      <c r="J111">
        <f>IF(H111="","",H111-I111)</f>
        <v/>
      </c>
      <c r="K111">
        <f>IF(J111="","",J111+I111)</f>
        <v/>
      </c>
      <c r="L111">
        <f>IF(K111="","",K111*Settings!$B$2)</f>
        <v/>
      </c>
      <c r="M111">
        <f>IF(D111="","",D111/E111*F111)</f>
        <v/>
      </c>
      <c r="N111">
        <f>IF(K111="","",IF(G111="Y",0,IF(D111&lt;Settings!$B$5,Settings!$B$3,Settings!$B$4)))</f>
        <v/>
      </c>
      <c r="O111">
        <f>IF(K111="","",IF(G111="Y",Settings!$B$7,Settings!$B$6))</f>
        <v/>
      </c>
      <c r="P111">
        <f>IF(K111="","",K111-L111-M111-N111-O111)</f>
        <v/>
      </c>
      <c r="Q111">
        <f>IF(P111="","",IF(P111&gt;=Settings!$B$8,"PASS","FAIL"))</f>
        <v/>
      </c>
    </row>
    <row r="112">
      <c r="I112">
        <f>IF(G112="Y",0,Settings!$B$6)</f>
        <v/>
      </c>
      <c r="J112">
        <f>IF(H112="","",H112-I112)</f>
        <v/>
      </c>
      <c r="K112">
        <f>IF(J112="","",J112+I112)</f>
        <v/>
      </c>
      <c r="L112">
        <f>IF(K112="","",K112*Settings!$B$2)</f>
        <v/>
      </c>
      <c r="M112">
        <f>IF(D112="","",D112/E112*F112)</f>
        <v/>
      </c>
      <c r="N112">
        <f>IF(K112="","",IF(G112="Y",0,IF(D112&lt;Settings!$B$5,Settings!$B$3,Settings!$B$4)))</f>
        <v/>
      </c>
      <c r="O112">
        <f>IF(K112="","",IF(G112="Y",Settings!$B$7,Settings!$B$6))</f>
        <v/>
      </c>
      <c r="P112">
        <f>IF(K112="","",K112-L112-M112-N112-O112)</f>
        <v/>
      </c>
      <c r="Q112">
        <f>IF(P112="","",IF(P112&gt;=Settings!$B$8,"PASS","FAIL"))</f>
        <v/>
      </c>
    </row>
    <row r="113">
      <c r="I113">
        <f>IF(G113="Y",0,Settings!$B$6)</f>
        <v/>
      </c>
      <c r="J113">
        <f>IF(H113="","",H113-I113)</f>
        <v/>
      </c>
      <c r="K113">
        <f>IF(J113="","",J113+I113)</f>
        <v/>
      </c>
      <c r="L113">
        <f>IF(K113="","",K113*Settings!$B$2)</f>
        <v/>
      </c>
      <c r="M113">
        <f>IF(D113="","",D113/E113*F113)</f>
        <v/>
      </c>
      <c r="N113">
        <f>IF(K113="","",IF(G113="Y",0,IF(D113&lt;Settings!$B$5,Settings!$B$3,Settings!$B$4)))</f>
        <v/>
      </c>
      <c r="O113">
        <f>IF(K113="","",IF(G113="Y",Settings!$B$7,Settings!$B$6))</f>
        <v/>
      </c>
      <c r="P113">
        <f>IF(K113="","",K113-L113-M113-N113-O113)</f>
        <v/>
      </c>
      <c r="Q113">
        <f>IF(P113="","",IF(P113&gt;=Settings!$B$8,"PASS","FAIL"))</f>
        <v/>
      </c>
    </row>
    <row r="114">
      <c r="I114">
        <f>IF(G114="Y",0,Settings!$B$6)</f>
        <v/>
      </c>
      <c r="J114">
        <f>IF(H114="","",H114-I114)</f>
        <v/>
      </c>
      <c r="K114">
        <f>IF(J114="","",J114+I114)</f>
        <v/>
      </c>
      <c r="L114">
        <f>IF(K114="","",K114*Settings!$B$2)</f>
        <v/>
      </c>
      <c r="M114">
        <f>IF(D114="","",D114/E114*F114)</f>
        <v/>
      </c>
      <c r="N114">
        <f>IF(K114="","",IF(G114="Y",0,IF(D114&lt;Settings!$B$5,Settings!$B$3,Settings!$B$4)))</f>
        <v/>
      </c>
      <c r="O114">
        <f>IF(K114="","",IF(G114="Y",Settings!$B$7,Settings!$B$6))</f>
        <v/>
      </c>
      <c r="P114">
        <f>IF(K114="","",K114-L114-M114-N114-O114)</f>
        <v/>
      </c>
      <c r="Q114">
        <f>IF(P114="","",IF(P114&gt;=Settings!$B$8,"PASS","FAIL"))</f>
        <v/>
      </c>
    </row>
    <row r="115">
      <c r="I115">
        <f>IF(G115="Y",0,Settings!$B$6)</f>
        <v/>
      </c>
      <c r="J115">
        <f>IF(H115="","",H115-I115)</f>
        <v/>
      </c>
      <c r="K115">
        <f>IF(J115="","",J115+I115)</f>
        <v/>
      </c>
      <c r="L115">
        <f>IF(K115="","",K115*Settings!$B$2)</f>
        <v/>
      </c>
      <c r="M115">
        <f>IF(D115="","",D115/E115*F115)</f>
        <v/>
      </c>
      <c r="N115">
        <f>IF(K115="","",IF(G115="Y",0,IF(D115&lt;Settings!$B$5,Settings!$B$3,Settings!$B$4)))</f>
        <v/>
      </c>
      <c r="O115">
        <f>IF(K115="","",IF(G115="Y",Settings!$B$7,Settings!$B$6))</f>
        <v/>
      </c>
      <c r="P115">
        <f>IF(K115="","",K115-L115-M115-N115-O115)</f>
        <v/>
      </c>
      <c r="Q115">
        <f>IF(P115="","",IF(P115&gt;=Settings!$B$8,"PASS","FAIL"))</f>
        <v/>
      </c>
    </row>
    <row r="116">
      <c r="I116">
        <f>IF(G116="Y",0,Settings!$B$6)</f>
        <v/>
      </c>
      <c r="J116">
        <f>IF(H116="","",H116-I116)</f>
        <v/>
      </c>
      <c r="K116">
        <f>IF(J116="","",J116+I116)</f>
        <v/>
      </c>
      <c r="L116">
        <f>IF(K116="","",K116*Settings!$B$2)</f>
        <v/>
      </c>
      <c r="M116">
        <f>IF(D116="","",D116/E116*F116)</f>
        <v/>
      </c>
      <c r="N116">
        <f>IF(K116="","",IF(G116="Y",0,IF(D116&lt;Settings!$B$5,Settings!$B$3,Settings!$B$4)))</f>
        <v/>
      </c>
      <c r="O116">
        <f>IF(K116="","",IF(G116="Y",Settings!$B$7,Settings!$B$6))</f>
        <v/>
      </c>
      <c r="P116">
        <f>IF(K116="","",K116-L116-M116-N116-O116)</f>
        <v/>
      </c>
      <c r="Q116">
        <f>IF(P116="","",IF(P116&gt;=Settings!$B$8,"PASS","FAIL"))</f>
        <v/>
      </c>
    </row>
    <row r="117">
      <c r="I117">
        <f>IF(G117="Y",0,Settings!$B$6)</f>
        <v/>
      </c>
      <c r="J117">
        <f>IF(H117="","",H117-I117)</f>
        <v/>
      </c>
      <c r="K117">
        <f>IF(J117="","",J117+I117)</f>
        <v/>
      </c>
      <c r="L117">
        <f>IF(K117="","",K117*Settings!$B$2)</f>
        <v/>
      </c>
      <c r="M117">
        <f>IF(D117="","",D117/E117*F117)</f>
        <v/>
      </c>
      <c r="N117">
        <f>IF(K117="","",IF(G117="Y",0,IF(D117&lt;Settings!$B$5,Settings!$B$3,Settings!$B$4)))</f>
        <v/>
      </c>
      <c r="O117">
        <f>IF(K117="","",IF(G117="Y",Settings!$B$7,Settings!$B$6))</f>
        <v/>
      </c>
      <c r="P117">
        <f>IF(K117="","",K117-L117-M117-N117-O117)</f>
        <v/>
      </c>
      <c r="Q117">
        <f>IF(P117="","",IF(P117&gt;=Settings!$B$8,"PASS","FAIL"))</f>
        <v/>
      </c>
    </row>
    <row r="118">
      <c r="I118">
        <f>IF(G118="Y",0,Settings!$B$6)</f>
        <v/>
      </c>
      <c r="J118">
        <f>IF(H118="","",H118-I118)</f>
        <v/>
      </c>
      <c r="K118">
        <f>IF(J118="","",J118+I118)</f>
        <v/>
      </c>
      <c r="L118">
        <f>IF(K118="","",K118*Settings!$B$2)</f>
        <v/>
      </c>
      <c r="M118">
        <f>IF(D118="","",D118/E118*F118)</f>
        <v/>
      </c>
      <c r="N118">
        <f>IF(K118="","",IF(G118="Y",0,IF(D118&lt;Settings!$B$5,Settings!$B$3,Settings!$B$4)))</f>
        <v/>
      </c>
      <c r="O118">
        <f>IF(K118="","",IF(G118="Y",Settings!$B$7,Settings!$B$6))</f>
        <v/>
      </c>
      <c r="P118">
        <f>IF(K118="","",K118-L118-M118-N118-O118)</f>
        <v/>
      </c>
      <c r="Q118">
        <f>IF(P118="","",IF(P118&gt;=Settings!$B$8,"PASS","FAIL"))</f>
        <v/>
      </c>
    </row>
    <row r="119">
      <c r="I119">
        <f>IF(G119="Y",0,Settings!$B$6)</f>
        <v/>
      </c>
      <c r="J119">
        <f>IF(H119="","",H119-I119)</f>
        <v/>
      </c>
      <c r="K119">
        <f>IF(J119="","",J119+I119)</f>
        <v/>
      </c>
      <c r="L119">
        <f>IF(K119="","",K119*Settings!$B$2)</f>
        <v/>
      </c>
      <c r="M119">
        <f>IF(D119="","",D119/E119*F119)</f>
        <v/>
      </c>
      <c r="N119">
        <f>IF(K119="","",IF(G119="Y",0,IF(D119&lt;Settings!$B$5,Settings!$B$3,Settings!$B$4)))</f>
        <v/>
      </c>
      <c r="O119">
        <f>IF(K119="","",IF(G119="Y",Settings!$B$7,Settings!$B$6))</f>
        <v/>
      </c>
      <c r="P119">
        <f>IF(K119="","",K119-L119-M119-N119-O119)</f>
        <v/>
      </c>
      <c r="Q119">
        <f>IF(P119="","",IF(P119&gt;=Settings!$B$8,"PASS","FAIL"))</f>
        <v/>
      </c>
    </row>
    <row r="120">
      <c r="I120">
        <f>IF(G120="Y",0,Settings!$B$6)</f>
        <v/>
      </c>
      <c r="J120">
        <f>IF(H120="","",H120-I120)</f>
        <v/>
      </c>
      <c r="K120">
        <f>IF(J120="","",J120+I120)</f>
        <v/>
      </c>
      <c r="L120">
        <f>IF(K120="","",K120*Settings!$B$2)</f>
        <v/>
      </c>
      <c r="M120">
        <f>IF(D120="","",D120/E120*F120)</f>
        <v/>
      </c>
      <c r="N120">
        <f>IF(K120="","",IF(G120="Y",0,IF(D120&lt;Settings!$B$5,Settings!$B$3,Settings!$B$4)))</f>
        <v/>
      </c>
      <c r="O120">
        <f>IF(K120="","",IF(G120="Y",Settings!$B$7,Settings!$B$6))</f>
        <v/>
      </c>
      <c r="P120">
        <f>IF(K120="","",K120-L120-M120-N120-O120)</f>
        <v/>
      </c>
      <c r="Q120">
        <f>IF(P120="","",IF(P120&gt;=Settings!$B$8,"PASS","FAIL"))</f>
        <v/>
      </c>
    </row>
    <row r="121">
      <c r="I121">
        <f>IF(G121="Y",0,Settings!$B$6)</f>
        <v/>
      </c>
      <c r="J121">
        <f>IF(H121="","",H121-I121)</f>
        <v/>
      </c>
      <c r="K121">
        <f>IF(J121="","",J121+I121)</f>
        <v/>
      </c>
      <c r="L121">
        <f>IF(K121="","",K121*Settings!$B$2)</f>
        <v/>
      </c>
      <c r="M121">
        <f>IF(D121="","",D121/E121*F121)</f>
        <v/>
      </c>
      <c r="N121">
        <f>IF(K121="","",IF(G121="Y",0,IF(D121&lt;Settings!$B$5,Settings!$B$3,Settings!$B$4)))</f>
        <v/>
      </c>
      <c r="O121">
        <f>IF(K121="","",IF(G121="Y",Settings!$B$7,Settings!$B$6))</f>
        <v/>
      </c>
      <c r="P121">
        <f>IF(K121="","",K121-L121-M121-N121-O121)</f>
        <v/>
      </c>
      <c r="Q121">
        <f>IF(P121="","",IF(P121&gt;=Settings!$B$8,"PASS","FAIL"))</f>
        <v/>
      </c>
    </row>
    <row r="122">
      <c r="I122">
        <f>IF(G122="Y",0,Settings!$B$6)</f>
        <v/>
      </c>
      <c r="J122">
        <f>IF(H122="","",H122-I122)</f>
        <v/>
      </c>
      <c r="K122">
        <f>IF(J122="","",J122+I122)</f>
        <v/>
      </c>
      <c r="L122">
        <f>IF(K122="","",K122*Settings!$B$2)</f>
        <v/>
      </c>
      <c r="M122">
        <f>IF(D122="","",D122/E122*F122)</f>
        <v/>
      </c>
      <c r="N122">
        <f>IF(K122="","",IF(G122="Y",0,IF(D122&lt;Settings!$B$5,Settings!$B$3,Settings!$B$4)))</f>
        <v/>
      </c>
      <c r="O122">
        <f>IF(K122="","",IF(G122="Y",Settings!$B$7,Settings!$B$6))</f>
        <v/>
      </c>
      <c r="P122">
        <f>IF(K122="","",K122-L122-M122-N122-O122)</f>
        <v/>
      </c>
      <c r="Q122">
        <f>IF(P122="","",IF(P122&gt;=Settings!$B$8,"PASS","FAIL"))</f>
        <v/>
      </c>
    </row>
    <row r="123">
      <c r="I123">
        <f>IF(G123="Y",0,Settings!$B$6)</f>
        <v/>
      </c>
      <c r="J123">
        <f>IF(H123="","",H123-I123)</f>
        <v/>
      </c>
      <c r="K123">
        <f>IF(J123="","",J123+I123)</f>
        <v/>
      </c>
      <c r="L123">
        <f>IF(K123="","",K123*Settings!$B$2)</f>
        <v/>
      </c>
      <c r="M123">
        <f>IF(D123="","",D123/E123*F123)</f>
        <v/>
      </c>
      <c r="N123">
        <f>IF(K123="","",IF(G123="Y",0,IF(D123&lt;Settings!$B$5,Settings!$B$3,Settings!$B$4)))</f>
        <v/>
      </c>
      <c r="O123">
        <f>IF(K123="","",IF(G123="Y",Settings!$B$7,Settings!$B$6))</f>
        <v/>
      </c>
      <c r="P123">
        <f>IF(K123="","",K123-L123-M123-N123-O123)</f>
        <v/>
      </c>
      <c r="Q123">
        <f>IF(P123="","",IF(P123&gt;=Settings!$B$8,"PASS","FAIL"))</f>
        <v/>
      </c>
    </row>
    <row r="124">
      <c r="I124">
        <f>IF(G124="Y",0,Settings!$B$6)</f>
        <v/>
      </c>
      <c r="J124">
        <f>IF(H124="","",H124-I124)</f>
        <v/>
      </c>
      <c r="K124">
        <f>IF(J124="","",J124+I124)</f>
        <v/>
      </c>
      <c r="L124">
        <f>IF(K124="","",K124*Settings!$B$2)</f>
        <v/>
      </c>
      <c r="M124">
        <f>IF(D124="","",D124/E124*F124)</f>
        <v/>
      </c>
      <c r="N124">
        <f>IF(K124="","",IF(G124="Y",0,IF(D124&lt;Settings!$B$5,Settings!$B$3,Settings!$B$4)))</f>
        <v/>
      </c>
      <c r="O124">
        <f>IF(K124="","",IF(G124="Y",Settings!$B$7,Settings!$B$6))</f>
        <v/>
      </c>
      <c r="P124">
        <f>IF(K124="","",K124-L124-M124-N124-O124)</f>
        <v/>
      </c>
      <c r="Q124">
        <f>IF(P124="","",IF(P124&gt;=Settings!$B$8,"PASS","FAIL"))</f>
        <v/>
      </c>
    </row>
    <row r="125">
      <c r="I125">
        <f>IF(G125="Y",0,Settings!$B$6)</f>
        <v/>
      </c>
      <c r="J125">
        <f>IF(H125="","",H125-I125)</f>
        <v/>
      </c>
      <c r="K125">
        <f>IF(J125="","",J125+I125)</f>
        <v/>
      </c>
      <c r="L125">
        <f>IF(K125="","",K125*Settings!$B$2)</f>
        <v/>
      </c>
      <c r="M125">
        <f>IF(D125="","",D125/E125*F125)</f>
        <v/>
      </c>
      <c r="N125">
        <f>IF(K125="","",IF(G125="Y",0,IF(D125&lt;Settings!$B$5,Settings!$B$3,Settings!$B$4)))</f>
        <v/>
      </c>
      <c r="O125">
        <f>IF(K125="","",IF(G125="Y",Settings!$B$7,Settings!$B$6))</f>
        <v/>
      </c>
      <c r="P125">
        <f>IF(K125="","",K125-L125-M125-N125-O125)</f>
        <v/>
      </c>
      <c r="Q125">
        <f>IF(P125="","",IF(P125&gt;=Settings!$B$8,"PASS","FAIL"))</f>
        <v/>
      </c>
    </row>
    <row r="126">
      <c r="I126">
        <f>IF(G126="Y",0,Settings!$B$6)</f>
        <v/>
      </c>
      <c r="J126">
        <f>IF(H126="","",H126-I126)</f>
        <v/>
      </c>
      <c r="K126">
        <f>IF(J126="","",J126+I126)</f>
        <v/>
      </c>
      <c r="L126">
        <f>IF(K126="","",K126*Settings!$B$2)</f>
        <v/>
      </c>
      <c r="M126">
        <f>IF(D126="","",D126/E126*F126)</f>
        <v/>
      </c>
      <c r="N126">
        <f>IF(K126="","",IF(G126="Y",0,IF(D126&lt;Settings!$B$5,Settings!$B$3,Settings!$B$4)))</f>
        <v/>
      </c>
      <c r="O126">
        <f>IF(K126="","",IF(G126="Y",Settings!$B$7,Settings!$B$6))</f>
        <v/>
      </c>
      <c r="P126">
        <f>IF(K126="","",K126-L126-M126-N126-O126)</f>
        <v/>
      </c>
      <c r="Q126">
        <f>IF(P126="","",IF(P126&gt;=Settings!$B$8,"PASS","FAIL"))</f>
        <v/>
      </c>
    </row>
    <row r="127">
      <c r="I127">
        <f>IF(G127="Y",0,Settings!$B$6)</f>
        <v/>
      </c>
      <c r="J127">
        <f>IF(H127="","",H127-I127)</f>
        <v/>
      </c>
      <c r="K127">
        <f>IF(J127="","",J127+I127)</f>
        <v/>
      </c>
      <c r="L127">
        <f>IF(K127="","",K127*Settings!$B$2)</f>
        <v/>
      </c>
      <c r="M127">
        <f>IF(D127="","",D127/E127*F127)</f>
        <v/>
      </c>
      <c r="N127">
        <f>IF(K127="","",IF(G127="Y",0,IF(D127&lt;Settings!$B$5,Settings!$B$3,Settings!$B$4)))</f>
        <v/>
      </c>
      <c r="O127">
        <f>IF(K127="","",IF(G127="Y",Settings!$B$7,Settings!$B$6))</f>
        <v/>
      </c>
      <c r="P127">
        <f>IF(K127="","",K127-L127-M127-N127-O127)</f>
        <v/>
      </c>
      <c r="Q127">
        <f>IF(P127="","",IF(P127&gt;=Settings!$B$8,"PASS","FAIL"))</f>
        <v/>
      </c>
    </row>
    <row r="128">
      <c r="I128">
        <f>IF(G128="Y",0,Settings!$B$6)</f>
        <v/>
      </c>
      <c r="J128">
        <f>IF(H128="","",H128-I128)</f>
        <v/>
      </c>
      <c r="K128">
        <f>IF(J128="","",J128+I128)</f>
        <v/>
      </c>
      <c r="L128">
        <f>IF(K128="","",K128*Settings!$B$2)</f>
        <v/>
      </c>
      <c r="M128">
        <f>IF(D128="","",D128/E128*F128)</f>
        <v/>
      </c>
      <c r="N128">
        <f>IF(K128="","",IF(G128="Y",0,IF(D128&lt;Settings!$B$5,Settings!$B$3,Settings!$B$4)))</f>
        <v/>
      </c>
      <c r="O128">
        <f>IF(K128="","",IF(G128="Y",Settings!$B$7,Settings!$B$6))</f>
        <v/>
      </c>
      <c r="P128">
        <f>IF(K128="","",K128-L128-M128-N128-O128)</f>
        <v/>
      </c>
      <c r="Q128">
        <f>IF(P128="","",IF(P128&gt;=Settings!$B$8,"PASS","FAIL"))</f>
        <v/>
      </c>
    </row>
    <row r="129">
      <c r="I129">
        <f>IF(G129="Y",0,Settings!$B$6)</f>
        <v/>
      </c>
      <c r="J129">
        <f>IF(H129="","",H129-I129)</f>
        <v/>
      </c>
      <c r="K129">
        <f>IF(J129="","",J129+I129)</f>
        <v/>
      </c>
      <c r="L129">
        <f>IF(K129="","",K129*Settings!$B$2)</f>
        <v/>
      </c>
      <c r="M129">
        <f>IF(D129="","",D129/E129*F129)</f>
        <v/>
      </c>
      <c r="N129">
        <f>IF(K129="","",IF(G129="Y",0,IF(D129&lt;Settings!$B$5,Settings!$B$3,Settings!$B$4)))</f>
        <v/>
      </c>
      <c r="O129">
        <f>IF(K129="","",IF(G129="Y",Settings!$B$7,Settings!$B$6))</f>
        <v/>
      </c>
      <c r="P129">
        <f>IF(K129="","",K129-L129-M129-N129-O129)</f>
        <v/>
      </c>
      <c r="Q129">
        <f>IF(P129="","",IF(P129&gt;=Settings!$B$8,"PASS","FAIL"))</f>
        <v/>
      </c>
    </row>
    <row r="130">
      <c r="I130">
        <f>IF(G130="Y",0,Settings!$B$6)</f>
        <v/>
      </c>
      <c r="J130">
        <f>IF(H130="","",H130-I130)</f>
        <v/>
      </c>
      <c r="K130">
        <f>IF(J130="","",J130+I130)</f>
        <v/>
      </c>
      <c r="L130">
        <f>IF(K130="","",K130*Settings!$B$2)</f>
        <v/>
      </c>
      <c r="M130">
        <f>IF(D130="","",D130/E130*F130)</f>
        <v/>
      </c>
      <c r="N130">
        <f>IF(K130="","",IF(G130="Y",0,IF(D130&lt;Settings!$B$5,Settings!$B$3,Settings!$B$4)))</f>
        <v/>
      </c>
      <c r="O130">
        <f>IF(K130="","",IF(G130="Y",Settings!$B$7,Settings!$B$6))</f>
        <v/>
      </c>
      <c r="P130">
        <f>IF(K130="","",K130-L130-M130-N130-O130)</f>
        <v/>
      </c>
      <c r="Q130">
        <f>IF(P130="","",IF(P130&gt;=Settings!$B$8,"PASS","FAIL"))</f>
        <v/>
      </c>
    </row>
    <row r="131">
      <c r="I131">
        <f>IF(G131="Y",0,Settings!$B$6)</f>
        <v/>
      </c>
      <c r="J131">
        <f>IF(H131="","",H131-I131)</f>
        <v/>
      </c>
      <c r="K131">
        <f>IF(J131="","",J131+I131)</f>
        <v/>
      </c>
      <c r="L131">
        <f>IF(K131="","",K131*Settings!$B$2)</f>
        <v/>
      </c>
      <c r="M131">
        <f>IF(D131="","",D131/E131*F131)</f>
        <v/>
      </c>
      <c r="N131">
        <f>IF(K131="","",IF(G131="Y",0,IF(D131&lt;Settings!$B$5,Settings!$B$3,Settings!$B$4)))</f>
        <v/>
      </c>
      <c r="O131">
        <f>IF(K131="","",IF(G131="Y",Settings!$B$7,Settings!$B$6))</f>
        <v/>
      </c>
      <c r="P131">
        <f>IF(K131="","",K131-L131-M131-N131-O131)</f>
        <v/>
      </c>
      <c r="Q131">
        <f>IF(P131="","",IF(P131&gt;=Settings!$B$8,"PASS","FAIL"))</f>
        <v/>
      </c>
    </row>
    <row r="132">
      <c r="I132">
        <f>IF(G132="Y",0,Settings!$B$6)</f>
        <v/>
      </c>
      <c r="J132">
        <f>IF(H132="","",H132-I132)</f>
        <v/>
      </c>
      <c r="K132">
        <f>IF(J132="","",J132+I132)</f>
        <v/>
      </c>
      <c r="L132">
        <f>IF(K132="","",K132*Settings!$B$2)</f>
        <v/>
      </c>
      <c r="M132">
        <f>IF(D132="","",D132/E132*F132)</f>
        <v/>
      </c>
      <c r="N132">
        <f>IF(K132="","",IF(G132="Y",0,IF(D132&lt;Settings!$B$5,Settings!$B$3,Settings!$B$4)))</f>
        <v/>
      </c>
      <c r="O132">
        <f>IF(K132="","",IF(G132="Y",Settings!$B$7,Settings!$B$6))</f>
        <v/>
      </c>
      <c r="P132">
        <f>IF(K132="","",K132-L132-M132-N132-O132)</f>
        <v/>
      </c>
      <c r="Q132">
        <f>IF(P132="","",IF(P132&gt;=Settings!$B$8,"PASS","FAIL"))</f>
        <v/>
      </c>
    </row>
    <row r="133">
      <c r="I133">
        <f>IF(G133="Y",0,Settings!$B$6)</f>
        <v/>
      </c>
      <c r="J133">
        <f>IF(H133="","",H133-I133)</f>
        <v/>
      </c>
      <c r="K133">
        <f>IF(J133="","",J133+I133)</f>
        <v/>
      </c>
      <c r="L133">
        <f>IF(K133="","",K133*Settings!$B$2)</f>
        <v/>
      </c>
      <c r="M133">
        <f>IF(D133="","",D133/E133*F133)</f>
        <v/>
      </c>
      <c r="N133">
        <f>IF(K133="","",IF(G133="Y",0,IF(D133&lt;Settings!$B$5,Settings!$B$3,Settings!$B$4)))</f>
        <v/>
      </c>
      <c r="O133">
        <f>IF(K133="","",IF(G133="Y",Settings!$B$7,Settings!$B$6))</f>
        <v/>
      </c>
      <c r="P133">
        <f>IF(K133="","",K133-L133-M133-N133-O133)</f>
        <v/>
      </c>
      <c r="Q133">
        <f>IF(P133="","",IF(P133&gt;=Settings!$B$8,"PASS","FAIL"))</f>
        <v/>
      </c>
    </row>
    <row r="134">
      <c r="I134">
        <f>IF(G134="Y",0,Settings!$B$6)</f>
        <v/>
      </c>
      <c r="J134">
        <f>IF(H134="","",H134-I134)</f>
        <v/>
      </c>
      <c r="K134">
        <f>IF(J134="","",J134+I134)</f>
        <v/>
      </c>
      <c r="L134">
        <f>IF(K134="","",K134*Settings!$B$2)</f>
        <v/>
      </c>
      <c r="M134">
        <f>IF(D134="","",D134/E134*F134)</f>
        <v/>
      </c>
      <c r="N134">
        <f>IF(K134="","",IF(G134="Y",0,IF(D134&lt;Settings!$B$5,Settings!$B$3,Settings!$B$4)))</f>
        <v/>
      </c>
      <c r="O134">
        <f>IF(K134="","",IF(G134="Y",Settings!$B$7,Settings!$B$6))</f>
        <v/>
      </c>
      <c r="P134">
        <f>IF(K134="","",K134-L134-M134-N134-O134)</f>
        <v/>
      </c>
      <c r="Q134">
        <f>IF(P134="","",IF(P134&gt;=Settings!$B$8,"PASS","FAIL"))</f>
        <v/>
      </c>
    </row>
    <row r="135">
      <c r="I135">
        <f>IF(G135="Y",0,Settings!$B$6)</f>
        <v/>
      </c>
      <c r="J135">
        <f>IF(H135="","",H135-I135)</f>
        <v/>
      </c>
      <c r="K135">
        <f>IF(J135="","",J135+I135)</f>
        <v/>
      </c>
      <c r="L135">
        <f>IF(K135="","",K135*Settings!$B$2)</f>
        <v/>
      </c>
      <c r="M135">
        <f>IF(D135="","",D135/E135*F135)</f>
        <v/>
      </c>
      <c r="N135">
        <f>IF(K135="","",IF(G135="Y",0,IF(D135&lt;Settings!$B$5,Settings!$B$3,Settings!$B$4)))</f>
        <v/>
      </c>
      <c r="O135">
        <f>IF(K135="","",IF(G135="Y",Settings!$B$7,Settings!$B$6))</f>
        <v/>
      </c>
      <c r="P135">
        <f>IF(K135="","",K135-L135-M135-N135-O135)</f>
        <v/>
      </c>
      <c r="Q135">
        <f>IF(P135="","",IF(P135&gt;=Settings!$B$8,"PASS","FAIL"))</f>
        <v/>
      </c>
    </row>
    <row r="136">
      <c r="I136">
        <f>IF(G136="Y",0,Settings!$B$6)</f>
        <v/>
      </c>
      <c r="J136">
        <f>IF(H136="","",H136-I136)</f>
        <v/>
      </c>
      <c r="K136">
        <f>IF(J136="","",J136+I136)</f>
        <v/>
      </c>
      <c r="L136">
        <f>IF(K136="","",K136*Settings!$B$2)</f>
        <v/>
      </c>
      <c r="M136">
        <f>IF(D136="","",D136/E136*F136)</f>
        <v/>
      </c>
      <c r="N136">
        <f>IF(K136="","",IF(G136="Y",0,IF(D136&lt;Settings!$B$5,Settings!$B$3,Settings!$B$4)))</f>
        <v/>
      </c>
      <c r="O136">
        <f>IF(K136="","",IF(G136="Y",Settings!$B$7,Settings!$B$6))</f>
        <v/>
      </c>
      <c r="P136">
        <f>IF(K136="","",K136-L136-M136-N136-O136)</f>
        <v/>
      </c>
      <c r="Q136">
        <f>IF(P136="","",IF(P136&gt;=Settings!$B$8,"PASS","FAIL"))</f>
        <v/>
      </c>
    </row>
    <row r="137">
      <c r="I137">
        <f>IF(G137="Y",0,Settings!$B$6)</f>
        <v/>
      </c>
      <c r="J137">
        <f>IF(H137="","",H137-I137)</f>
        <v/>
      </c>
      <c r="K137">
        <f>IF(J137="","",J137+I137)</f>
        <v/>
      </c>
      <c r="L137">
        <f>IF(K137="","",K137*Settings!$B$2)</f>
        <v/>
      </c>
      <c r="M137">
        <f>IF(D137="","",D137/E137*F137)</f>
        <v/>
      </c>
      <c r="N137">
        <f>IF(K137="","",IF(G137="Y",0,IF(D137&lt;Settings!$B$5,Settings!$B$3,Settings!$B$4)))</f>
        <v/>
      </c>
      <c r="O137">
        <f>IF(K137="","",IF(G137="Y",Settings!$B$7,Settings!$B$6))</f>
        <v/>
      </c>
      <c r="P137">
        <f>IF(K137="","",K137-L137-M137-N137-O137)</f>
        <v/>
      </c>
      <c r="Q137">
        <f>IF(P137="","",IF(P137&gt;=Settings!$B$8,"PASS","FAIL"))</f>
        <v/>
      </c>
    </row>
    <row r="138">
      <c r="I138">
        <f>IF(G138="Y",0,Settings!$B$6)</f>
        <v/>
      </c>
      <c r="J138">
        <f>IF(H138="","",H138-I138)</f>
        <v/>
      </c>
      <c r="K138">
        <f>IF(J138="","",J138+I138)</f>
        <v/>
      </c>
      <c r="L138">
        <f>IF(K138="","",K138*Settings!$B$2)</f>
        <v/>
      </c>
      <c r="M138">
        <f>IF(D138="","",D138/E138*F138)</f>
        <v/>
      </c>
      <c r="N138">
        <f>IF(K138="","",IF(G138="Y",0,IF(D138&lt;Settings!$B$5,Settings!$B$3,Settings!$B$4)))</f>
        <v/>
      </c>
      <c r="O138">
        <f>IF(K138="","",IF(G138="Y",Settings!$B$7,Settings!$B$6))</f>
        <v/>
      </c>
      <c r="P138">
        <f>IF(K138="","",K138-L138-M138-N138-O138)</f>
        <v/>
      </c>
      <c r="Q138">
        <f>IF(P138="","",IF(P138&gt;=Settings!$B$8,"PASS","FAIL"))</f>
        <v/>
      </c>
    </row>
    <row r="139">
      <c r="I139">
        <f>IF(G139="Y",0,Settings!$B$6)</f>
        <v/>
      </c>
      <c r="J139">
        <f>IF(H139="","",H139-I139)</f>
        <v/>
      </c>
      <c r="K139">
        <f>IF(J139="","",J139+I139)</f>
        <v/>
      </c>
      <c r="L139">
        <f>IF(K139="","",K139*Settings!$B$2)</f>
        <v/>
      </c>
      <c r="M139">
        <f>IF(D139="","",D139/E139*F139)</f>
        <v/>
      </c>
      <c r="N139">
        <f>IF(K139="","",IF(G139="Y",0,IF(D139&lt;Settings!$B$5,Settings!$B$3,Settings!$B$4)))</f>
        <v/>
      </c>
      <c r="O139">
        <f>IF(K139="","",IF(G139="Y",Settings!$B$7,Settings!$B$6))</f>
        <v/>
      </c>
      <c r="P139">
        <f>IF(K139="","",K139-L139-M139-N139-O139)</f>
        <v/>
      </c>
      <c r="Q139">
        <f>IF(P139="","",IF(P139&gt;=Settings!$B$8,"PASS","FAIL"))</f>
        <v/>
      </c>
    </row>
    <row r="140">
      <c r="I140">
        <f>IF(G140="Y",0,Settings!$B$6)</f>
        <v/>
      </c>
      <c r="J140">
        <f>IF(H140="","",H140-I140)</f>
        <v/>
      </c>
      <c r="K140">
        <f>IF(J140="","",J140+I140)</f>
        <v/>
      </c>
      <c r="L140">
        <f>IF(K140="","",K140*Settings!$B$2)</f>
        <v/>
      </c>
      <c r="M140">
        <f>IF(D140="","",D140/E140*F140)</f>
        <v/>
      </c>
      <c r="N140">
        <f>IF(K140="","",IF(G140="Y",0,IF(D140&lt;Settings!$B$5,Settings!$B$3,Settings!$B$4)))</f>
        <v/>
      </c>
      <c r="O140">
        <f>IF(K140="","",IF(G140="Y",Settings!$B$7,Settings!$B$6))</f>
        <v/>
      </c>
      <c r="P140">
        <f>IF(K140="","",K140-L140-M140-N140-O140)</f>
        <v/>
      </c>
      <c r="Q140">
        <f>IF(P140="","",IF(P140&gt;=Settings!$B$8,"PASS","FAIL"))</f>
        <v/>
      </c>
    </row>
    <row r="141">
      <c r="I141">
        <f>IF(G141="Y",0,Settings!$B$6)</f>
        <v/>
      </c>
      <c r="J141">
        <f>IF(H141="","",H141-I141)</f>
        <v/>
      </c>
      <c r="K141">
        <f>IF(J141="","",J141+I141)</f>
        <v/>
      </c>
      <c r="L141">
        <f>IF(K141="","",K141*Settings!$B$2)</f>
        <v/>
      </c>
      <c r="M141">
        <f>IF(D141="","",D141/E141*F141)</f>
        <v/>
      </c>
      <c r="N141">
        <f>IF(K141="","",IF(G141="Y",0,IF(D141&lt;Settings!$B$5,Settings!$B$3,Settings!$B$4)))</f>
        <v/>
      </c>
      <c r="O141">
        <f>IF(K141="","",IF(G141="Y",Settings!$B$7,Settings!$B$6))</f>
        <v/>
      </c>
      <c r="P141">
        <f>IF(K141="","",K141-L141-M141-N141-O141)</f>
        <v/>
      </c>
      <c r="Q141">
        <f>IF(P141="","",IF(P141&gt;=Settings!$B$8,"PASS","FAIL"))</f>
        <v/>
      </c>
    </row>
    <row r="142">
      <c r="I142">
        <f>IF(G142="Y",0,Settings!$B$6)</f>
        <v/>
      </c>
      <c r="J142">
        <f>IF(H142="","",H142-I142)</f>
        <v/>
      </c>
      <c r="K142">
        <f>IF(J142="","",J142+I142)</f>
        <v/>
      </c>
      <c r="L142">
        <f>IF(K142="","",K142*Settings!$B$2)</f>
        <v/>
      </c>
      <c r="M142">
        <f>IF(D142="","",D142/E142*F142)</f>
        <v/>
      </c>
      <c r="N142">
        <f>IF(K142="","",IF(G142="Y",0,IF(D142&lt;Settings!$B$5,Settings!$B$3,Settings!$B$4)))</f>
        <v/>
      </c>
      <c r="O142">
        <f>IF(K142="","",IF(G142="Y",Settings!$B$7,Settings!$B$6))</f>
        <v/>
      </c>
      <c r="P142">
        <f>IF(K142="","",K142-L142-M142-N142-O142)</f>
        <v/>
      </c>
      <c r="Q142">
        <f>IF(P142="","",IF(P142&gt;=Settings!$B$8,"PASS","FAIL"))</f>
        <v/>
      </c>
    </row>
    <row r="143">
      <c r="I143">
        <f>IF(G143="Y",0,Settings!$B$6)</f>
        <v/>
      </c>
      <c r="J143">
        <f>IF(H143="","",H143-I143)</f>
        <v/>
      </c>
      <c r="K143">
        <f>IF(J143="","",J143+I143)</f>
        <v/>
      </c>
      <c r="L143">
        <f>IF(K143="","",K143*Settings!$B$2)</f>
        <v/>
      </c>
      <c r="M143">
        <f>IF(D143="","",D143/E143*F143)</f>
        <v/>
      </c>
      <c r="N143">
        <f>IF(K143="","",IF(G143="Y",0,IF(D143&lt;Settings!$B$5,Settings!$B$3,Settings!$B$4)))</f>
        <v/>
      </c>
      <c r="O143">
        <f>IF(K143="","",IF(G143="Y",Settings!$B$7,Settings!$B$6))</f>
        <v/>
      </c>
      <c r="P143">
        <f>IF(K143="","",K143-L143-M143-N143-O143)</f>
        <v/>
      </c>
      <c r="Q143">
        <f>IF(P143="","",IF(P143&gt;=Settings!$B$8,"PASS","FAIL"))</f>
        <v/>
      </c>
    </row>
    <row r="144">
      <c r="I144">
        <f>IF(G144="Y",0,Settings!$B$6)</f>
        <v/>
      </c>
      <c r="J144">
        <f>IF(H144="","",H144-I144)</f>
        <v/>
      </c>
      <c r="K144">
        <f>IF(J144="","",J144+I144)</f>
        <v/>
      </c>
      <c r="L144">
        <f>IF(K144="","",K144*Settings!$B$2)</f>
        <v/>
      </c>
      <c r="M144">
        <f>IF(D144="","",D144/E144*F144)</f>
        <v/>
      </c>
      <c r="N144">
        <f>IF(K144="","",IF(G144="Y",0,IF(D144&lt;Settings!$B$5,Settings!$B$3,Settings!$B$4)))</f>
        <v/>
      </c>
      <c r="O144">
        <f>IF(K144="","",IF(G144="Y",Settings!$B$7,Settings!$B$6))</f>
        <v/>
      </c>
      <c r="P144">
        <f>IF(K144="","",K144-L144-M144-N144-O144)</f>
        <v/>
      </c>
      <c r="Q144">
        <f>IF(P144="","",IF(P144&gt;=Settings!$B$8,"PASS","FAIL"))</f>
        <v/>
      </c>
    </row>
    <row r="145">
      <c r="I145">
        <f>IF(G145="Y",0,Settings!$B$6)</f>
        <v/>
      </c>
      <c r="J145">
        <f>IF(H145="","",H145-I145)</f>
        <v/>
      </c>
      <c r="K145">
        <f>IF(J145="","",J145+I145)</f>
        <v/>
      </c>
      <c r="L145">
        <f>IF(K145="","",K145*Settings!$B$2)</f>
        <v/>
      </c>
      <c r="M145">
        <f>IF(D145="","",D145/E145*F145)</f>
        <v/>
      </c>
      <c r="N145">
        <f>IF(K145="","",IF(G145="Y",0,IF(D145&lt;Settings!$B$5,Settings!$B$3,Settings!$B$4)))</f>
        <v/>
      </c>
      <c r="O145">
        <f>IF(K145="","",IF(G145="Y",Settings!$B$7,Settings!$B$6))</f>
        <v/>
      </c>
      <c r="P145">
        <f>IF(K145="","",K145-L145-M145-N145-O145)</f>
        <v/>
      </c>
      <c r="Q145">
        <f>IF(P145="","",IF(P145&gt;=Settings!$B$8,"PASS","FAIL"))</f>
        <v/>
      </c>
    </row>
    <row r="146">
      <c r="I146">
        <f>IF(G146="Y",0,Settings!$B$6)</f>
        <v/>
      </c>
      <c r="J146">
        <f>IF(H146="","",H146-I146)</f>
        <v/>
      </c>
      <c r="K146">
        <f>IF(J146="","",J146+I146)</f>
        <v/>
      </c>
      <c r="L146">
        <f>IF(K146="","",K146*Settings!$B$2)</f>
        <v/>
      </c>
      <c r="M146">
        <f>IF(D146="","",D146/E146*F146)</f>
        <v/>
      </c>
      <c r="N146">
        <f>IF(K146="","",IF(G146="Y",0,IF(D146&lt;Settings!$B$5,Settings!$B$3,Settings!$B$4)))</f>
        <v/>
      </c>
      <c r="O146">
        <f>IF(K146="","",IF(G146="Y",Settings!$B$7,Settings!$B$6))</f>
        <v/>
      </c>
      <c r="P146">
        <f>IF(K146="","",K146-L146-M146-N146-O146)</f>
        <v/>
      </c>
      <c r="Q146">
        <f>IF(P146="","",IF(P146&gt;=Settings!$B$8,"PASS","FAIL"))</f>
        <v/>
      </c>
    </row>
    <row r="147">
      <c r="I147">
        <f>IF(G147="Y",0,Settings!$B$6)</f>
        <v/>
      </c>
      <c r="J147">
        <f>IF(H147="","",H147-I147)</f>
        <v/>
      </c>
      <c r="K147">
        <f>IF(J147="","",J147+I147)</f>
        <v/>
      </c>
      <c r="L147">
        <f>IF(K147="","",K147*Settings!$B$2)</f>
        <v/>
      </c>
      <c r="M147">
        <f>IF(D147="","",D147/E147*F147)</f>
        <v/>
      </c>
      <c r="N147">
        <f>IF(K147="","",IF(G147="Y",0,IF(D147&lt;Settings!$B$5,Settings!$B$3,Settings!$B$4)))</f>
        <v/>
      </c>
      <c r="O147">
        <f>IF(K147="","",IF(G147="Y",Settings!$B$7,Settings!$B$6))</f>
        <v/>
      </c>
      <c r="P147">
        <f>IF(K147="","",K147-L147-M147-N147-O147)</f>
        <v/>
      </c>
      <c r="Q147">
        <f>IF(P147="","",IF(P147&gt;=Settings!$B$8,"PASS","FAIL"))</f>
        <v/>
      </c>
    </row>
    <row r="148">
      <c r="I148">
        <f>IF(G148="Y",0,Settings!$B$6)</f>
        <v/>
      </c>
      <c r="J148">
        <f>IF(H148="","",H148-I148)</f>
        <v/>
      </c>
      <c r="K148">
        <f>IF(J148="","",J148+I148)</f>
        <v/>
      </c>
      <c r="L148">
        <f>IF(K148="","",K148*Settings!$B$2)</f>
        <v/>
      </c>
      <c r="M148">
        <f>IF(D148="","",D148/E148*F148)</f>
        <v/>
      </c>
      <c r="N148">
        <f>IF(K148="","",IF(G148="Y",0,IF(D148&lt;Settings!$B$5,Settings!$B$3,Settings!$B$4)))</f>
        <v/>
      </c>
      <c r="O148">
        <f>IF(K148="","",IF(G148="Y",Settings!$B$7,Settings!$B$6))</f>
        <v/>
      </c>
      <c r="P148">
        <f>IF(K148="","",K148-L148-M148-N148-O148)</f>
        <v/>
      </c>
      <c r="Q148">
        <f>IF(P148="","",IF(P148&gt;=Settings!$B$8,"PASS","FAIL"))</f>
        <v/>
      </c>
    </row>
    <row r="149">
      <c r="I149">
        <f>IF(G149="Y",0,Settings!$B$6)</f>
        <v/>
      </c>
      <c r="J149">
        <f>IF(H149="","",H149-I149)</f>
        <v/>
      </c>
      <c r="K149">
        <f>IF(J149="","",J149+I149)</f>
        <v/>
      </c>
      <c r="L149">
        <f>IF(K149="","",K149*Settings!$B$2)</f>
        <v/>
      </c>
      <c r="M149">
        <f>IF(D149="","",D149/E149*F149)</f>
        <v/>
      </c>
      <c r="N149">
        <f>IF(K149="","",IF(G149="Y",0,IF(D149&lt;Settings!$B$5,Settings!$B$3,Settings!$B$4)))</f>
        <v/>
      </c>
      <c r="O149">
        <f>IF(K149="","",IF(G149="Y",Settings!$B$7,Settings!$B$6))</f>
        <v/>
      </c>
      <c r="P149">
        <f>IF(K149="","",K149-L149-M149-N149-O149)</f>
        <v/>
      </c>
      <c r="Q149">
        <f>IF(P149="","",IF(P149&gt;=Settings!$B$8,"PASS","FAIL"))</f>
        <v/>
      </c>
    </row>
    <row r="150">
      <c r="I150">
        <f>IF(G150="Y",0,Settings!$B$6)</f>
        <v/>
      </c>
      <c r="J150">
        <f>IF(H150="","",H150-I150)</f>
        <v/>
      </c>
      <c r="K150">
        <f>IF(J150="","",J150+I150)</f>
        <v/>
      </c>
      <c r="L150">
        <f>IF(K150="","",K150*Settings!$B$2)</f>
        <v/>
      </c>
      <c r="M150">
        <f>IF(D150="","",D150/E150*F150)</f>
        <v/>
      </c>
      <c r="N150">
        <f>IF(K150="","",IF(G150="Y",0,IF(D150&lt;Settings!$B$5,Settings!$B$3,Settings!$B$4)))</f>
        <v/>
      </c>
      <c r="O150">
        <f>IF(K150="","",IF(G150="Y",Settings!$B$7,Settings!$B$6))</f>
        <v/>
      </c>
      <c r="P150">
        <f>IF(K150="","",K150-L150-M150-N150-O150)</f>
        <v/>
      </c>
      <c r="Q150">
        <f>IF(P150="","",IF(P150&gt;=Settings!$B$8,"PASS","FAIL"))</f>
        <v/>
      </c>
    </row>
    <row r="151">
      <c r="I151">
        <f>IF(G151="Y",0,Settings!$B$6)</f>
        <v/>
      </c>
      <c r="J151">
        <f>IF(H151="","",H151-I151)</f>
        <v/>
      </c>
      <c r="K151">
        <f>IF(J151="","",J151+I151)</f>
        <v/>
      </c>
      <c r="L151">
        <f>IF(K151="","",K151*Settings!$B$2)</f>
        <v/>
      </c>
      <c r="M151">
        <f>IF(D151="","",D151/E151*F151)</f>
        <v/>
      </c>
      <c r="N151">
        <f>IF(K151="","",IF(G151="Y",0,IF(D151&lt;Settings!$B$5,Settings!$B$3,Settings!$B$4)))</f>
        <v/>
      </c>
      <c r="O151">
        <f>IF(K151="","",IF(G151="Y",Settings!$B$7,Settings!$B$6))</f>
        <v/>
      </c>
      <c r="P151">
        <f>IF(K151="","",K151-L151-M151-N151-O151)</f>
        <v/>
      </c>
      <c r="Q151">
        <f>IF(P151="","",IF(P151&gt;=Settings!$B$8,"PASS","FAIL"))</f>
        <v/>
      </c>
    </row>
    <row r="152">
      <c r="I152">
        <f>IF(G152="Y",0,Settings!$B$6)</f>
        <v/>
      </c>
      <c r="J152">
        <f>IF(H152="","",H152-I152)</f>
        <v/>
      </c>
      <c r="K152">
        <f>IF(J152="","",J152+I152)</f>
        <v/>
      </c>
      <c r="L152">
        <f>IF(K152="","",K152*Settings!$B$2)</f>
        <v/>
      </c>
      <c r="M152">
        <f>IF(D152="","",D152/E152*F152)</f>
        <v/>
      </c>
      <c r="N152">
        <f>IF(K152="","",IF(G152="Y",0,IF(D152&lt;Settings!$B$5,Settings!$B$3,Settings!$B$4)))</f>
        <v/>
      </c>
      <c r="O152">
        <f>IF(K152="","",IF(G152="Y",Settings!$B$7,Settings!$B$6))</f>
        <v/>
      </c>
      <c r="P152">
        <f>IF(K152="","",K152-L152-M152-N152-O152)</f>
        <v/>
      </c>
      <c r="Q152">
        <f>IF(P152="","",IF(P152&gt;=Settings!$B$8,"PASS","FAIL"))</f>
        <v/>
      </c>
    </row>
    <row r="153">
      <c r="I153">
        <f>IF(G153="Y",0,Settings!$B$6)</f>
        <v/>
      </c>
      <c r="J153">
        <f>IF(H153="","",H153-I153)</f>
        <v/>
      </c>
      <c r="K153">
        <f>IF(J153="","",J153+I153)</f>
        <v/>
      </c>
      <c r="L153">
        <f>IF(K153="","",K153*Settings!$B$2)</f>
        <v/>
      </c>
      <c r="M153">
        <f>IF(D153="","",D153/E153*F153)</f>
        <v/>
      </c>
      <c r="N153">
        <f>IF(K153="","",IF(G153="Y",0,IF(D153&lt;Settings!$B$5,Settings!$B$3,Settings!$B$4)))</f>
        <v/>
      </c>
      <c r="O153">
        <f>IF(K153="","",IF(G153="Y",Settings!$B$7,Settings!$B$6))</f>
        <v/>
      </c>
      <c r="P153">
        <f>IF(K153="","",K153-L153-M153-N153-O153)</f>
        <v/>
      </c>
      <c r="Q153">
        <f>IF(P153="","",IF(P153&gt;=Settings!$B$8,"PASS","FAIL"))</f>
        <v/>
      </c>
    </row>
    <row r="154">
      <c r="I154">
        <f>IF(G154="Y",0,Settings!$B$6)</f>
        <v/>
      </c>
      <c r="J154">
        <f>IF(H154="","",H154-I154)</f>
        <v/>
      </c>
      <c r="K154">
        <f>IF(J154="","",J154+I154)</f>
        <v/>
      </c>
      <c r="L154">
        <f>IF(K154="","",K154*Settings!$B$2)</f>
        <v/>
      </c>
      <c r="M154">
        <f>IF(D154="","",D154/E154*F154)</f>
        <v/>
      </c>
      <c r="N154">
        <f>IF(K154="","",IF(G154="Y",0,IF(D154&lt;Settings!$B$5,Settings!$B$3,Settings!$B$4)))</f>
        <v/>
      </c>
      <c r="O154">
        <f>IF(K154="","",IF(G154="Y",Settings!$B$7,Settings!$B$6))</f>
        <v/>
      </c>
      <c r="P154">
        <f>IF(K154="","",K154-L154-M154-N154-O154)</f>
        <v/>
      </c>
      <c r="Q154">
        <f>IF(P154="","",IF(P154&gt;=Settings!$B$8,"PASS","FAIL"))</f>
        <v/>
      </c>
    </row>
    <row r="155">
      <c r="I155">
        <f>IF(G155="Y",0,Settings!$B$6)</f>
        <v/>
      </c>
      <c r="J155">
        <f>IF(H155="","",H155-I155)</f>
        <v/>
      </c>
      <c r="K155">
        <f>IF(J155="","",J155+I155)</f>
        <v/>
      </c>
      <c r="L155">
        <f>IF(K155="","",K155*Settings!$B$2)</f>
        <v/>
      </c>
      <c r="M155">
        <f>IF(D155="","",D155/E155*F155)</f>
        <v/>
      </c>
      <c r="N155">
        <f>IF(K155="","",IF(G155="Y",0,IF(D155&lt;Settings!$B$5,Settings!$B$3,Settings!$B$4)))</f>
        <v/>
      </c>
      <c r="O155">
        <f>IF(K155="","",IF(G155="Y",Settings!$B$7,Settings!$B$6))</f>
        <v/>
      </c>
      <c r="P155">
        <f>IF(K155="","",K155-L155-M155-N155-O155)</f>
        <v/>
      </c>
      <c r="Q155">
        <f>IF(P155="","",IF(P155&gt;=Settings!$B$8,"PASS","FAIL"))</f>
        <v/>
      </c>
    </row>
    <row r="156">
      <c r="I156">
        <f>IF(G156="Y",0,Settings!$B$6)</f>
        <v/>
      </c>
      <c r="J156">
        <f>IF(H156="","",H156-I156)</f>
        <v/>
      </c>
      <c r="K156">
        <f>IF(J156="","",J156+I156)</f>
        <v/>
      </c>
      <c r="L156">
        <f>IF(K156="","",K156*Settings!$B$2)</f>
        <v/>
      </c>
      <c r="M156">
        <f>IF(D156="","",D156/E156*F156)</f>
        <v/>
      </c>
      <c r="N156">
        <f>IF(K156="","",IF(G156="Y",0,IF(D156&lt;Settings!$B$5,Settings!$B$3,Settings!$B$4)))</f>
        <v/>
      </c>
      <c r="O156">
        <f>IF(K156="","",IF(G156="Y",Settings!$B$7,Settings!$B$6))</f>
        <v/>
      </c>
      <c r="P156">
        <f>IF(K156="","",K156-L156-M156-N156-O156)</f>
        <v/>
      </c>
      <c r="Q156">
        <f>IF(P156="","",IF(P156&gt;=Settings!$B$8,"PASS","FAIL"))</f>
        <v/>
      </c>
    </row>
    <row r="157">
      <c r="I157">
        <f>IF(G157="Y",0,Settings!$B$6)</f>
        <v/>
      </c>
      <c r="J157">
        <f>IF(H157="","",H157-I157)</f>
        <v/>
      </c>
      <c r="K157">
        <f>IF(J157="","",J157+I157)</f>
        <v/>
      </c>
      <c r="L157">
        <f>IF(K157="","",K157*Settings!$B$2)</f>
        <v/>
      </c>
      <c r="M157">
        <f>IF(D157="","",D157/E157*F157)</f>
        <v/>
      </c>
      <c r="N157">
        <f>IF(K157="","",IF(G157="Y",0,IF(D157&lt;Settings!$B$5,Settings!$B$3,Settings!$B$4)))</f>
        <v/>
      </c>
      <c r="O157">
        <f>IF(K157="","",IF(G157="Y",Settings!$B$7,Settings!$B$6))</f>
        <v/>
      </c>
      <c r="P157">
        <f>IF(K157="","",K157-L157-M157-N157-O157)</f>
        <v/>
      </c>
      <c r="Q157">
        <f>IF(P157="","",IF(P157&gt;=Settings!$B$8,"PASS","FAIL"))</f>
        <v/>
      </c>
    </row>
    <row r="158">
      <c r="I158">
        <f>IF(G158="Y",0,Settings!$B$6)</f>
        <v/>
      </c>
      <c r="J158">
        <f>IF(H158="","",H158-I158)</f>
        <v/>
      </c>
      <c r="K158">
        <f>IF(J158="","",J158+I158)</f>
        <v/>
      </c>
      <c r="L158">
        <f>IF(K158="","",K158*Settings!$B$2)</f>
        <v/>
      </c>
      <c r="M158">
        <f>IF(D158="","",D158/E158*F158)</f>
        <v/>
      </c>
      <c r="N158">
        <f>IF(K158="","",IF(G158="Y",0,IF(D158&lt;Settings!$B$5,Settings!$B$3,Settings!$B$4)))</f>
        <v/>
      </c>
      <c r="O158">
        <f>IF(K158="","",IF(G158="Y",Settings!$B$7,Settings!$B$6))</f>
        <v/>
      </c>
      <c r="P158">
        <f>IF(K158="","",K158-L158-M158-N158-O158)</f>
        <v/>
      </c>
      <c r="Q158">
        <f>IF(P158="","",IF(P158&gt;=Settings!$B$8,"PASS","FAIL"))</f>
        <v/>
      </c>
    </row>
    <row r="159">
      <c r="I159">
        <f>IF(G159="Y",0,Settings!$B$6)</f>
        <v/>
      </c>
      <c r="J159">
        <f>IF(H159="","",H159-I159)</f>
        <v/>
      </c>
      <c r="K159">
        <f>IF(J159="","",J159+I159)</f>
        <v/>
      </c>
      <c r="L159">
        <f>IF(K159="","",K159*Settings!$B$2)</f>
        <v/>
      </c>
      <c r="M159">
        <f>IF(D159="","",D159/E159*F159)</f>
        <v/>
      </c>
      <c r="N159">
        <f>IF(K159="","",IF(G159="Y",0,IF(D159&lt;Settings!$B$5,Settings!$B$3,Settings!$B$4)))</f>
        <v/>
      </c>
      <c r="O159">
        <f>IF(K159="","",IF(G159="Y",Settings!$B$7,Settings!$B$6))</f>
        <v/>
      </c>
      <c r="P159">
        <f>IF(K159="","",K159-L159-M159-N159-O159)</f>
        <v/>
      </c>
      <c r="Q159">
        <f>IF(P159="","",IF(P159&gt;=Settings!$B$8,"PASS","FAIL"))</f>
        <v/>
      </c>
    </row>
    <row r="160">
      <c r="I160">
        <f>IF(G160="Y",0,Settings!$B$6)</f>
        <v/>
      </c>
      <c r="J160">
        <f>IF(H160="","",H160-I160)</f>
        <v/>
      </c>
      <c r="K160">
        <f>IF(J160="","",J160+I160)</f>
        <v/>
      </c>
      <c r="L160">
        <f>IF(K160="","",K160*Settings!$B$2)</f>
        <v/>
      </c>
      <c r="M160">
        <f>IF(D160="","",D160/E160*F160)</f>
        <v/>
      </c>
      <c r="N160">
        <f>IF(K160="","",IF(G160="Y",0,IF(D160&lt;Settings!$B$5,Settings!$B$3,Settings!$B$4)))</f>
        <v/>
      </c>
      <c r="O160">
        <f>IF(K160="","",IF(G160="Y",Settings!$B$7,Settings!$B$6))</f>
        <v/>
      </c>
      <c r="P160">
        <f>IF(K160="","",K160-L160-M160-N160-O160)</f>
        <v/>
      </c>
      <c r="Q160">
        <f>IF(P160="","",IF(P160&gt;=Settings!$B$8,"PASS","FAIL"))</f>
        <v/>
      </c>
    </row>
    <row r="161">
      <c r="I161">
        <f>IF(G161="Y",0,Settings!$B$6)</f>
        <v/>
      </c>
      <c r="J161">
        <f>IF(H161="","",H161-I161)</f>
        <v/>
      </c>
      <c r="K161">
        <f>IF(J161="","",J161+I161)</f>
        <v/>
      </c>
      <c r="L161">
        <f>IF(K161="","",K161*Settings!$B$2)</f>
        <v/>
      </c>
      <c r="M161">
        <f>IF(D161="","",D161/E161*F161)</f>
        <v/>
      </c>
      <c r="N161">
        <f>IF(K161="","",IF(G161="Y",0,IF(D161&lt;Settings!$B$5,Settings!$B$3,Settings!$B$4)))</f>
        <v/>
      </c>
      <c r="O161">
        <f>IF(K161="","",IF(G161="Y",Settings!$B$7,Settings!$B$6))</f>
        <v/>
      </c>
      <c r="P161">
        <f>IF(K161="","",K161-L161-M161-N161-O161)</f>
        <v/>
      </c>
      <c r="Q161">
        <f>IF(P161="","",IF(P161&gt;=Settings!$B$8,"PASS","FAIL"))</f>
        <v/>
      </c>
    </row>
    <row r="162">
      <c r="I162">
        <f>IF(G162="Y",0,Settings!$B$6)</f>
        <v/>
      </c>
      <c r="J162">
        <f>IF(H162="","",H162-I162)</f>
        <v/>
      </c>
      <c r="K162">
        <f>IF(J162="","",J162+I162)</f>
        <v/>
      </c>
      <c r="L162">
        <f>IF(K162="","",K162*Settings!$B$2)</f>
        <v/>
      </c>
      <c r="M162">
        <f>IF(D162="","",D162/E162*F162)</f>
        <v/>
      </c>
      <c r="N162">
        <f>IF(K162="","",IF(G162="Y",0,IF(D162&lt;Settings!$B$5,Settings!$B$3,Settings!$B$4)))</f>
        <v/>
      </c>
      <c r="O162">
        <f>IF(K162="","",IF(G162="Y",Settings!$B$7,Settings!$B$6))</f>
        <v/>
      </c>
      <c r="P162">
        <f>IF(K162="","",K162-L162-M162-N162-O162)</f>
        <v/>
      </c>
      <c r="Q162">
        <f>IF(P162="","",IF(P162&gt;=Settings!$B$8,"PASS","FAIL"))</f>
        <v/>
      </c>
    </row>
    <row r="163">
      <c r="I163">
        <f>IF(G163="Y",0,Settings!$B$6)</f>
        <v/>
      </c>
      <c r="J163">
        <f>IF(H163="","",H163-I163)</f>
        <v/>
      </c>
      <c r="K163">
        <f>IF(J163="","",J163+I163)</f>
        <v/>
      </c>
      <c r="L163">
        <f>IF(K163="","",K163*Settings!$B$2)</f>
        <v/>
      </c>
      <c r="M163">
        <f>IF(D163="","",D163/E163*F163)</f>
        <v/>
      </c>
      <c r="N163">
        <f>IF(K163="","",IF(G163="Y",0,IF(D163&lt;Settings!$B$5,Settings!$B$3,Settings!$B$4)))</f>
        <v/>
      </c>
      <c r="O163">
        <f>IF(K163="","",IF(G163="Y",Settings!$B$7,Settings!$B$6))</f>
        <v/>
      </c>
      <c r="P163">
        <f>IF(K163="","",K163-L163-M163-N163-O163)</f>
        <v/>
      </c>
      <c r="Q163">
        <f>IF(P163="","",IF(P163&gt;=Settings!$B$8,"PASS","FAIL"))</f>
        <v/>
      </c>
    </row>
    <row r="164">
      <c r="I164">
        <f>IF(G164="Y",0,Settings!$B$6)</f>
        <v/>
      </c>
      <c r="J164">
        <f>IF(H164="","",H164-I164)</f>
        <v/>
      </c>
      <c r="K164">
        <f>IF(J164="","",J164+I164)</f>
        <v/>
      </c>
      <c r="L164">
        <f>IF(K164="","",K164*Settings!$B$2)</f>
        <v/>
      </c>
      <c r="M164">
        <f>IF(D164="","",D164/E164*F164)</f>
        <v/>
      </c>
      <c r="N164">
        <f>IF(K164="","",IF(G164="Y",0,IF(D164&lt;Settings!$B$5,Settings!$B$3,Settings!$B$4)))</f>
        <v/>
      </c>
      <c r="O164">
        <f>IF(K164="","",IF(G164="Y",Settings!$B$7,Settings!$B$6))</f>
        <v/>
      </c>
      <c r="P164">
        <f>IF(K164="","",K164-L164-M164-N164-O164)</f>
        <v/>
      </c>
      <c r="Q164">
        <f>IF(P164="","",IF(P164&gt;=Settings!$B$8,"PASS","FAIL"))</f>
        <v/>
      </c>
    </row>
    <row r="165">
      <c r="I165">
        <f>IF(G165="Y",0,Settings!$B$6)</f>
        <v/>
      </c>
      <c r="J165">
        <f>IF(H165="","",H165-I165)</f>
        <v/>
      </c>
      <c r="K165">
        <f>IF(J165="","",J165+I165)</f>
        <v/>
      </c>
      <c r="L165">
        <f>IF(K165="","",K165*Settings!$B$2)</f>
        <v/>
      </c>
      <c r="M165">
        <f>IF(D165="","",D165/E165*F165)</f>
        <v/>
      </c>
      <c r="N165">
        <f>IF(K165="","",IF(G165="Y",0,IF(D165&lt;Settings!$B$5,Settings!$B$3,Settings!$B$4)))</f>
        <v/>
      </c>
      <c r="O165">
        <f>IF(K165="","",IF(G165="Y",Settings!$B$7,Settings!$B$6))</f>
        <v/>
      </c>
      <c r="P165">
        <f>IF(K165="","",K165-L165-M165-N165-O165)</f>
        <v/>
      </c>
      <c r="Q165">
        <f>IF(P165="","",IF(P165&gt;=Settings!$B$8,"PASS","FAIL"))</f>
        <v/>
      </c>
    </row>
    <row r="166">
      <c r="I166">
        <f>IF(G166="Y",0,Settings!$B$6)</f>
        <v/>
      </c>
      <c r="J166">
        <f>IF(H166="","",H166-I166)</f>
        <v/>
      </c>
      <c r="K166">
        <f>IF(J166="","",J166+I166)</f>
        <v/>
      </c>
      <c r="L166">
        <f>IF(K166="","",K166*Settings!$B$2)</f>
        <v/>
      </c>
      <c r="M166">
        <f>IF(D166="","",D166/E166*F166)</f>
        <v/>
      </c>
      <c r="N166">
        <f>IF(K166="","",IF(G166="Y",0,IF(D166&lt;Settings!$B$5,Settings!$B$3,Settings!$B$4)))</f>
        <v/>
      </c>
      <c r="O166">
        <f>IF(K166="","",IF(G166="Y",Settings!$B$7,Settings!$B$6))</f>
        <v/>
      </c>
      <c r="P166">
        <f>IF(K166="","",K166-L166-M166-N166-O166)</f>
        <v/>
      </c>
      <c r="Q166">
        <f>IF(P166="","",IF(P166&gt;=Settings!$B$8,"PASS","FAIL"))</f>
        <v/>
      </c>
    </row>
    <row r="167">
      <c r="I167">
        <f>IF(G167="Y",0,Settings!$B$6)</f>
        <v/>
      </c>
      <c r="J167">
        <f>IF(H167="","",H167-I167)</f>
        <v/>
      </c>
      <c r="K167">
        <f>IF(J167="","",J167+I167)</f>
        <v/>
      </c>
      <c r="L167">
        <f>IF(K167="","",K167*Settings!$B$2)</f>
        <v/>
      </c>
      <c r="M167">
        <f>IF(D167="","",D167/E167*F167)</f>
        <v/>
      </c>
      <c r="N167">
        <f>IF(K167="","",IF(G167="Y",0,IF(D167&lt;Settings!$B$5,Settings!$B$3,Settings!$B$4)))</f>
        <v/>
      </c>
      <c r="O167">
        <f>IF(K167="","",IF(G167="Y",Settings!$B$7,Settings!$B$6))</f>
        <v/>
      </c>
      <c r="P167">
        <f>IF(K167="","",K167-L167-M167-N167-O167)</f>
        <v/>
      </c>
      <c r="Q167">
        <f>IF(P167="","",IF(P167&gt;=Settings!$B$8,"PASS","FAIL"))</f>
        <v/>
      </c>
    </row>
    <row r="168">
      <c r="I168">
        <f>IF(G168="Y",0,Settings!$B$6)</f>
        <v/>
      </c>
      <c r="J168">
        <f>IF(H168="","",H168-I168)</f>
        <v/>
      </c>
      <c r="K168">
        <f>IF(J168="","",J168+I168)</f>
        <v/>
      </c>
      <c r="L168">
        <f>IF(K168="","",K168*Settings!$B$2)</f>
        <v/>
      </c>
      <c r="M168">
        <f>IF(D168="","",D168/E168*F168)</f>
        <v/>
      </c>
      <c r="N168">
        <f>IF(K168="","",IF(G168="Y",0,IF(D168&lt;Settings!$B$5,Settings!$B$3,Settings!$B$4)))</f>
        <v/>
      </c>
      <c r="O168">
        <f>IF(K168="","",IF(G168="Y",Settings!$B$7,Settings!$B$6))</f>
        <v/>
      </c>
      <c r="P168">
        <f>IF(K168="","",K168-L168-M168-N168-O168)</f>
        <v/>
      </c>
      <c r="Q168">
        <f>IF(P168="","",IF(P168&gt;=Settings!$B$8,"PASS","FAIL"))</f>
        <v/>
      </c>
    </row>
    <row r="169">
      <c r="I169">
        <f>IF(G169="Y",0,Settings!$B$6)</f>
        <v/>
      </c>
      <c r="J169">
        <f>IF(H169="","",H169-I169)</f>
        <v/>
      </c>
      <c r="K169">
        <f>IF(J169="","",J169+I169)</f>
        <v/>
      </c>
      <c r="L169">
        <f>IF(K169="","",K169*Settings!$B$2)</f>
        <v/>
      </c>
      <c r="M169">
        <f>IF(D169="","",D169/E169*F169)</f>
        <v/>
      </c>
      <c r="N169">
        <f>IF(K169="","",IF(G169="Y",0,IF(D169&lt;Settings!$B$5,Settings!$B$3,Settings!$B$4)))</f>
        <v/>
      </c>
      <c r="O169">
        <f>IF(K169="","",IF(G169="Y",Settings!$B$7,Settings!$B$6))</f>
        <v/>
      </c>
      <c r="P169">
        <f>IF(K169="","",K169-L169-M169-N169-O169)</f>
        <v/>
      </c>
      <c r="Q169">
        <f>IF(P169="","",IF(P169&gt;=Settings!$B$8,"PASS","FAIL"))</f>
        <v/>
      </c>
    </row>
    <row r="170">
      <c r="I170">
        <f>IF(G170="Y",0,Settings!$B$6)</f>
        <v/>
      </c>
      <c r="J170">
        <f>IF(H170="","",H170-I170)</f>
        <v/>
      </c>
      <c r="K170">
        <f>IF(J170="","",J170+I170)</f>
        <v/>
      </c>
      <c r="L170">
        <f>IF(K170="","",K170*Settings!$B$2)</f>
        <v/>
      </c>
      <c r="M170">
        <f>IF(D170="","",D170/E170*F170)</f>
        <v/>
      </c>
      <c r="N170">
        <f>IF(K170="","",IF(G170="Y",0,IF(D170&lt;Settings!$B$5,Settings!$B$3,Settings!$B$4)))</f>
        <v/>
      </c>
      <c r="O170">
        <f>IF(K170="","",IF(G170="Y",Settings!$B$7,Settings!$B$6))</f>
        <v/>
      </c>
      <c r="P170">
        <f>IF(K170="","",K170-L170-M170-N170-O170)</f>
        <v/>
      </c>
      <c r="Q170">
        <f>IF(P170="","",IF(P170&gt;=Settings!$B$8,"PASS","FAIL"))</f>
        <v/>
      </c>
    </row>
    <row r="171">
      <c r="I171">
        <f>IF(G171="Y",0,Settings!$B$6)</f>
        <v/>
      </c>
      <c r="J171">
        <f>IF(H171="","",H171-I171)</f>
        <v/>
      </c>
      <c r="K171">
        <f>IF(J171="","",J171+I171)</f>
        <v/>
      </c>
      <c r="L171">
        <f>IF(K171="","",K171*Settings!$B$2)</f>
        <v/>
      </c>
      <c r="M171">
        <f>IF(D171="","",D171/E171*F171)</f>
        <v/>
      </c>
      <c r="N171">
        <f>IF(K171="","",IF(G171="Y",0,IF(D171&lt;Settings!$B$5,Settings!$B$3,Settings!$B$4)))</f>
        <v/>
      </c>
      <c r="O171">
        <f>IF(K171="","",IF(G171="Y",Settings!$B$7,Settings!$B$6))</f>
        <v/>
      </c>
      <c r="P171">
        <f>IF(K171="","",K171-L171-M171-N171-O171)</f>
        <v/>
      </c>
      <c r="Q171">
        <f>IF(P171="","",IF(P171&gt;=Settings!$B$8,"PASS","FAIL"))</f>
        <v/>
      </c>
    </row>
    <row r="172">
      <c r="I172">
        <f>IF(G172="Y",0,Settings!$B$6)</f>
        <v/>
      </c>
      <c r="J172">
        <f>IF(H172="","",H172-I172)</f>
        <v/>
      </c>
      <c r="K172">
        <f>IF(J172="","",J172+I172)</f>
        <v/>
      </c>
      <c r="L172">
        <f>IF(K172="","",K172*Settings!$B$2)</f>
        <v/>
      </c>
      <c r="M172">
        <f>IF(D172="","",D172/E172*F172)</f>
        <v/>
      </c>
      <c r="N172">
        <f>IF(K172="","",IF(G172="Y",0,IF(D172&lt;Settings!$B$5,Settings!$B$3,Settings!$B$4)))</f>
        <v/>
      </c>
      <c r="O172">
        <f>IF(K172="","",IF(G172="Y",Settings!$B$7,Settings!$B$6))</f>
        <v/>
      </c>
      <c r="P172">
        <f>IF(K172="","",K172-L172-M172-N172-O172)</f>
        <v/>
      </c>
      <c r="Q172">
        <f>IF(P172="","",IF(P172&gt;=Settings!$B$8,"PASS","FAIL"))</f>
        <v/>
      </c>
    </row>
    <row r="173">
      <c r="I173">
        <f>IF(G173="Y",0,Settings!$B$6)</f>
        <v/>
      </c>
      <c r="J173">
        <f>IF(H173="","",H173-I173)</f>
        <v/>
      </c>
      <c r="K173">
        <f>IF(J173="","",J173+I173)</f>
        <v/>
      </c>
      <c r="L173">
        <f>IF(K173="","",K173*Settings!$B$2)</f>
        <v/>
      </c>
      <c r="M173">
        <f>IF(D173="","",D173/E173*F173)</f>
        <v/>
      </c>
      <c r="N173">
        <f>IF(K173="","",IF(G173="Y",0,IF(D173&lt;Settings!$B$5,Settings!$B$3,Settings!$B$4)))</f>
        <v/>
      </c>
      <c r="O173">
        <f>IF(K173="","",IF(G173="Y",Settings!$B$7,Settings!$B$6))</f>
        <v/>
      </c>
      <c r="P173">
        <f>IF(K173="","",K173-L173-M173-N173-O173)</f>
        <v/>
      </c>
      <c r="Q173">
        <f>IF(P173="","",IF(P173&gt;=Settings!$B$8,"PASS","FAIL"))</f>
        <v/>
      </c>
    </row>
    <row r="174">
      <c r="I174">
        <f>IF(G174="Y",0,Settings!$B$6)</f>
        <v/>
      </c>
      <c r="J174">
        <f>IF(H174="","",H174-I174)</f>
        <v/>
      </c>
      <c r="K174">
        <f>IF(J174="","",J174+I174)</f>
        <v/>
      </c>
      <c r="L174">
        <f>IF(K174="","",K174*Settings!$B$2)</f>
        <v/>
      </c>
      <c r="M174">
        <f>IF(D174="","",D174/E174*F174)</f>
        <v/>
      </c>
      <c r="N174">
        <f>IF(K174="","",IF(G174="Y",0,IF(D174&lt;Settings!$B$5,Settings!$B$3,Settings!$B$4)))</f>
        <v/>
      </c>
      <c r="O174">
        <f>IF(K174="","",IF(G174="Y",Settings!$B$7,Settings!$B$6))</f>
        <v/>
      </c>
      <c r="P174">
        <f>IF(K174="","",K174-L174-M174-N174-O174)</f>
        <v/>
      </c>
      <c r="Q174">
        <f>IF(P174="","",IF(P174&gt;=Settings!$B$8,"PASS","FAIL"))</f>
        <v/>
      </c>
    </row>
    <row r="175">
      <c r="I175">
        <f>IF(G175="Y",0,Settings!$B$6)</f>
        <v/>
      </c>
      <c r="J175">
        <f>IF(H175="","",H175-I175)</f>
        <v/>
      </c>
      <c r="K175">
        <f>IF(J175="","",J175+I175)</f>
        <v/>
      </c>
      <c r="L175">
        <f>IF(K175="","",K175*Settings!$B$2)</f>
        <v/>
      </c>
      <c r="M175">
        <f>IF(D175="","",D175/E175*F175)</f>
        <v/>
      </c>
      <c r="N175">
        <f>IF(K175="","",IF(G175="Y",0,IF(D175&lt;Settings!$B$5,Settings!$B$3,Settings!$B$4)))</f>
        <v/>
      </c>
      <c r="O175">
        <f>IF(K175="","",IF(G175="Y",Settings!$B$7,Settings!$B$6))</f>
        <v/>
      </c>
      <c r="P175">
        <f>IF(K175="","",K175-L175-M175-N175-O175)</f>
        <v/>
      </c>
      <c r="Q175">
        <f>IF(P175="","",IF(P175&gt;=Settings!$B$8,"PASS","FAIL"))</f>
        <v/>
      </c>
    </row>
    <row r="176">
      <c r="I176">
        <f>IF(G176="Y",0,Settings!$B$6)</f>
        <v/>
      </c>
      <c r="J176">
        <f>IF(H176="","",H176-I176)</f>
        <v/>
      </c>
      <c r="K176">
        <f>IF(J176="","",J176+I176)</f>
        <v/>
      </c>
      <c r="L176">
        <f>IF(K176="","",K176*Settings!$B$2)</f>
        <v/>
      </c>
      <c r="M176">
        <f>IF(D176="","",D176/E176*F176)</f>
        <v/>
      </c>
      <c r="N176">
        <f>IF(K176="","",IF(G176="Y",0,IF(D176&lt;Settings!$B$5,Settings!$B$3,Settings!$B$4)))</f>
        <v/>
      </c>
      <c r="O176">
        <f>IF(K176="","",IF(G176="Y",Settings!$B$7,Settings!$B$6))</f>
        <v/>
      </c>
      <c r="P176">
        <f>IF(K176="","",K176-L176-M176-N176-O176)</f>
        <v/>
      </c>
      <c r="Q176">
        <f>IF(P176="","",IF(P176&gt;=Settings!$B$8,"PASS","FAIL"))</f>
        <v/>
      </c>
    </row>
    <row r="177">
      <c r="I177">
        <f>IF(G177="Y",0,Settings!$B$6)</f>
        <v/>
      </c>
      <c r="J177">
        <f>IF(H177="","",H177-I177)</f>
        <v/>
      </c>
      <c r="K177">
        <f>IF(J177="","",J177+I177)</f>
        <v/>
      </c>
      <c r="L177">
        <f>IF(K177="","",K177*Settings!$B$2)</f>
        <v/>
      </c>
      <c r="M177">
        <f>IF(D177="","",D177/E177*F177)</f>
        <v/>
      </c>
      <c r="N177">
        <f>IF(K177="","",IF(G177="Y",0,IF(D177&lt;Settings!$B$5,Settings!$B$3,Settings!$B$4)))</f>
        <v/>
      </c>
      <c r="O177">
        <f>IF(K177="","",IF(G177="Y",Settings!$B$7,Settings!$B$6))</f>
        <v/>
      </c>
      <c r="P177">
        <f>IF(K177="","",K177-L177-M177-N177-O177)</f>
        <v/>
      </c>
      <c r="Q177">
        <f>IF(P177="","",IF(P177&gt;=Settings!$B$8,"PASS","FAIL"))</f>
        <v/>
      </c>
    </row>
    <row r="178">
      <c r="I178">
        <f>IF(G178="Y",0,Settings!$B$6)</f>
        <v/>
      </c>
      <c r="J178">
        <f>IF(H178="","",H178-I178)</f>
        <v/>
      </c>
      <c r="K178">
        <f>IF(J178="","",J178+I178)</f>
        <v/>
      </c>
      <c r="L178">
        <f>IF(K178="","",K178*Settings!$B$2)</f>
        <v/>
      </c>
      <c r="M178">
        <f>IF(D178="","",D178/E178*F178)</f>
        <v/>
      </c>
      <c r="N178">
        <f>IF(K178="","",IF(G178="Y",0,IF(D178&lt;Settings!$B$5,Settings!$B$3,Settings!$B$4)))</f>
        <v/>
      </c>
      <c r="O178">
        <f>IF(K178="","",IF(G178="Y",Settings!$B$7,Settings!$B$6))</f>
        <v/>
      </c>
      <c r="P178">
        <f>IF(K178="","",K178-L178-M178-N178-O178)</f>
        <v/>
      </c>
      <c r="Q178">
        <f>IF(P178="","",IF(P178&gt;=Settings!$B$8,"PASS","FAIL"))</f>
        <v/>
      </c>
    </row>
    <row r="179">
      <c r="I179">
        <f>IF(G179="Y",0,Settings!$B$6)</f>
        <v/>
      </c>
      <c r="J179">
        <f>IF(H179="","",H179-I179)</f>
        <v/>
      </c>
      <c r="K179">
        <f>IF(J179="","",J179+I179)</f>
        <v/>
      </c>
      <c r="L179">
        <f>IF(K179="","",K179*Settings!$B$2)</f>
        <v/>
      </c>
      <c r="M179">
        <f>IF(D179="","",D179/E179*F179)</f>
        <v/>
      </c>
      <c r="N179">
        <f>IF(K179="","",IF(G179="Y",0,IF(D179&lt;Settings!$B$5,Settings!$B$3,Settings!$B$4)))</f>
        <v/>
      </c>
      <c r="O179">
        <f>IF(K179="","",IF(G179="Y",Settings!$B$7,Settings!$B$6))</f>
        <v/>
      </c>
      <c r="P179">
        <f>IF(K179="","",K179-L179-M179-N179-O179)</f>
        <v/>
      </c>
      <c r="Q179">
        <f>IF(P179="","",IF(P179&gt;=Settings!$B$8,"PASS","FAIL"))</f>
        <v/>
      </c>
    </row>
    <row r="180">
      <c r="I180">
        <f>IF(G180="Y",0,Settings!$B$6)</f>
        <v/>
      </c>
      <c r="J180">
        <f>IF(H180="","",H180-I180)</f>
        <v/>
      </c>
      <c r="K180">
        <f>IF(J180="","",J180+I180)</f>
        <v/>
      </c>
      <c r="L180">
        <f>IF(K180="","",K180*Settings!$B$2)</f>
        <v/>
      </c>
      <c r="M180">
        <f>IF(D180="","",D180/E180*F180)</f>
        <v/>
      </c>
      <c r="N180">
        <f>IF(K180="","",IF(G180="Y",0,IF(D180&lt;Settings!$B$5,Settings!$B$3,Settings!$B$4)))</f>
        <v/>
      </c>
      <c r="O180">
        <f>IF(K180="","",IF(G180="Y",Settings!$B$7,Settings!$B$6))</f>
        <v/>
      </c>
      <c r="P180">
        <f>IF(K180="","",K180-L180-M180-N180-O180)</f>
        <v/>
      </c>
      <c r="Q180">
        <f>IF(P180="","",IF(P180&gt;=Settings!$B$8,"PASS","FAIL"))</f>
        <v/>
      </c>
    </row>
    <row r="181">
      <c r="I181">
        <f>IF(G181="Y",0,Settings!$B$6)</f>
        <v/>
      </c>
      <c r="J181">
        <f>IF(H181="","",H181-I181)</f>
        <v/>
      </c>
      <c r="K181">
        <f>IF(J181="","",J181+I181)</f>
        <v/>
      </c>
      <c r="L181">
        <f>IF(K181="","",K181*Settings!$B$2)</f>
        <v/>
      </c>
      <c r="M181">
        <f>IF(D181="","",D181/E181*F181)</f>
        <v/>
      </c>
      <c r="N181">
        <f>IF(K181="","",IF(G181="Y",0,IF(D181&lt;Settings!$B$5,Settings!$B$3,Settings!$B$4)))</f>
        <v/>
      </c>
      <c r="O181">
        <f>IF(K181="","",IF(G181="Y",Settings!$B$7,Settings!$B$6))</f>
        <v/>
      </c>
      <c r="P181">
        <f>IF(K181="","",K181-L181-M181-N181-O181)</f>
        <v/>
      </c>
      <c r="Q181">
        <f>IF(P181="","",IF(P181&gt;=Settings!$B$8,"PASS","FAIL"))</f>
        <v/>
      </c>
    </row>
    <row r="182">
      <c r="I182">
        <f>IF(G182="Y",0,Settings!$B$6)</f>
        <v/>
      </c>
      <c r="J182">
        <f>IF(H182="","",H182-I182)</f>
        <v/>
      </c>
      <c r="K182">
        <f>IF(J182="","",J182+I182)</f>
        <v/>
      </c>
      <c r="L182">
        <f>IF(K182="","",K182*Settings!$B$2)</f>
        <v/>
      </c>
      <c r="M182">
        <f>IF(D182="","",D182/E182*F182)</f>
        <v/>
      </c>
      <c r="N182">
        <f>IF(K182="","",IF(G182="Y",0,IF(D182&lt;Settings!$B$5,Settings!$B$3,Settings!$B$4)))</f>
        <v/>
      </c>
      <c r="O182">
        <f>IF(K182="","",IF(G182="Y",Settings!$B$7,Settings!$B$6))</f>
        <v/>
      </c>
      <c r="P182">
        <f>IF(K182="","",K182-L182-M182-N182-O182)</f>
        <v/>
      </c>
      <c r="Q182">
        <f>IF(P182="","",IF(P182&gt;=Settings!$B$8,"PASS","FAIL"))</f>
        <v/>
      </c>
    </row>
    <row r="183">
      <c r="I183">
        <f>IF(G183="Y",0,Settings!$B$6)</f>
        <v/>
      </c>
      <c r="J183">
        <f>IF(H183="","",H183-I183)</f>
        <v/>
      </c>
      <c r="K183">
        <f>IF(J183="","",J183+I183)</f>
        <v/>
      </c>
      <c r="L183">
        <f>IF(K183="","",K183*Settings!$B$2)</f>
        <v/>
      </c>
      <c r="M183">
        <f>IF(D183="","",D183/E183*F183)</f>
        <v/>
      </c>
      <c r="N183">
        <f>IF(K183="","",IF(G183="Y",0,IF(D183&lt;Settings!$B$5,Settings!$B$3,Settings!$B$4)))</f>
        <v/>
      </c>
      <c r="O183">
        <f>IF(K183="","",IF(G183="Y",Settings!$B$7,Settings!$B$6))</f>
        <v/>
      </c>
      <c r="P183">
        <f>IF(K183="","",K183-L183-M183-N183-O183)</f>
        <v/>
      </c>
      <c r="Q183">
        <f>IF(P183="","",IF(P183&gt;=Settings!$B$8,"PASS","FAIL"))</f>
        <v/>
      </c>
    </row>
    <row r="184">
      <c r="I184">
        <f>IF(G184="Y",0,Settings!$B$6)</f>
        <v/>
      </c>
      <c r="J184">
        <f>IF(H184="","",H184-I184)</f>
        <v/>
      </c>
      <c r="K184">
        <f>IF(J184="","",J184+I184)</f>
        <v/>
      </c>
      <c r="L184">
        <f>IF(K184="","",K184*Settings!$B$2)</f>
        <v/>
      </c>
      <c r="M184">
        <f>IF(D184="","",D184/E184*F184)</f>
        <v/>
      </c>
      <c r="N184">
        <f>IF(K184="","",IF(G184="Y",0,IF(D184&lt;Settings!$B$5,Settings!$B$3,Settings!$B$4)))</f>
        <v/>
      </c>
      <c r="O184">
        <f>IF(K184="","",IF(G184="Y",Settings!$B$7,Settings!$B$6))</f>
        <v/>
      </c>
      <c r="P184">
        <f>IF(K184="","",K184-L184-M184-N184-O184)</f>
        <v/>
      </c>
      <c r="Q184">
        <f>IF(P184="","",IF(P184&gt;=Settings!$B$8,"PASS","FAIL"))</f>
        <v/>
      </c>
    </row>
    <row r="185">
      <c r="I185">
        <f>IF(G185="Y",0,Settings!$B$6)</f>
        <v/>
      </c>
      <c r="J185">
        <f>IF(H185="","",H185-I185)</f>
        <v/>
      </c>
      <c r="K185">
        <f>IF(J185="","",J185+I185)</f>
        <v/>
      </c>
      <c r="L185">
        <f>IF(K185="","",K185*Settings!$B$2)</f>
        <v/>
      </c>
      <c r="M185">
        <f>IF(D185="","",D185/E185*F185)</f>
        <v/>
      </c>
      <c r="N185">
        <f>IF(K185="","",IF(G185="Y",0,IF(D185&lt;Settings!$B$5,Settings!$B$3,Settings!$B$4)))</f>
        <v/>
      </c>
      <c r="O185">
        <f>IF(K185="","",IF(G185="Y",Settings!$B$7,Settings!$B$6))</f>
        <v/>
      </c>
      <c r="P185">
        <f>IF(K185="","",K185-L185-M185-N185-O185)</f>
        <v/>
      </c>
      <c r="Q185">
        <f>IF(P185="","",IF(P185&gt;=Settings!$B$8,"PASS","FAIL"))</f>
        <v/>
      </c>
    </row>
    <row r="186">
      <c r="I186">
        <f>IF(G186="Y",0,Settings!$B$6)</f>
        <v/>
      </c>
      <c r="J186">
        <f>IF(H186="","",H186-I186)</f>
        <v/>
      </c>
      <c r="K186">
        <f>IF(J186="","",J186+I186)</f>
        <v/>
      </c>
      <c r="L186">
        <f>IF(K186="","",K186*Settings!$B$2)</f>
        <v/>
      </c>
      <c r="M186">
        <f>IF(D186="","",D186/E186*F186)</f>
        <v/>
      </c>
      <c r="N186">
        <f>IF(K186="","",IF(G186="Y",0,IF(D186&lt;Settings!$B$5,Settings!$B$3,Settings!$B$4)))</f>
        <v/>
      </c>
      <c r="O186">
        <f>IF(K186="","",IF(G186="Y",Settings!$B$7,Settings!$B$6))</f>
        <v/>
      </c>
      <c r="P186">
        <f>IF(K186="","",K186-L186-M186-N186-O186)</f>
        <v/>
      </c>
      <c r="Q186">
        <f>IF(P186="","",IF(P186&gt;=Settings!$B$8,"PASS","FAIL"))</f>
        <v/>
      </c>
    </row>
    <row r="187">
      <c r="I187">
        <f>IF(G187="Y",0,Settings!$B$6)</f>
        <v/>
      </c>
      <c r="J187">
        <f>IF(H187="","",H187-I187)</f>
        <v/>
      </c>
      <c r="K187">
        <f>IF(J187="","",J187+I187)</f>
        <v/>
      </c>
      <c r="L187">
        <f>IF(K187="","",K187*Settings!$B$2)</f>
        <v/>
      </c>
      <c r="M187">
        <f>IF(D187="","",D187/E187*F187)</f>
        <v/>
      </c>
      <c r="N187">
        <f>IF(K187="","",IF(G187="Y",0,IF(D187&lt;Settings!$B$5,Settings!$B$3,Settings!$B$4)))</f>
        <v/>
      </c>
      <c r="O187">
        <f>IF(K187="","",IF(G187="Y",Settings!$B$7,Settings!$B$6))</f>
        <v/>
      </c>
      <c r="P187">
        <f>IF(K187="","",K187-L187-M187-N187-O187)</f>
        <v/>
      </c>
      <c r="Q187">
        <f>IF(P187="","",IF(P187&gt;=Settings!$B$8,"PASS","FAIL"))</f>
        <v/>
      </c>
    </row>
    <row r="188">
      <c r="I188">
        <f>IF(G188="Y",0,Settings!$B$6)</f>
        <v/>
      </c>
      <c r="J188">
        <f>IF(H188="","",H188-I188)</f>
        <v/>
      </c>
      <c r="K188">
        <f>IF(J188="","",J188+I188)</f>
        <v/>
      </c>
      <c r="L188">
        <f>IF(K188="","",K188*Settings!$B$2)</f>
        <v/>
      </c>
      <c r="M188">
        <f>IF(D188="","",D188/E188*F188)</f>
        <v/>
      </c>
      <c r="N188">
        <f>IF(K188="","",IF(G188="Y",0,IF(D188&lt;Settings!$B$5,Settings!$B$3,Settings!$B$4)))</f>
        <v/>
      </c>
      <c r="O188">
        <f>IF(K188="","",IF(G188="Y",Settings!$B$7,Settings!$B$6))</f>
        <v/>
      </c>
      <c r="P188">
        <f>IF(K188="","",K188-L188-M188-N188-O188)</f>
        <v/>
      </c>
      <c r="Q188">
        <f>IF(P188="","",IF(P188&gt;=Settings!$B$8,"PASS","FAIL"))</f>
        <v/>
      </c>
    </row>
    <row r="189">
      <c r="I189">
        <f>IF(G189="Y",0,Settings!$B$6)</f>
        <v/>
      </c>
      <c r="J189">
        <f>IF(H189="","",H189-I189)</f>
        <v/>
      </c>
      <c r="K189">
        <f>IF(J189="","",J189+I189)</f>
        <v/>
      </c>
      <c r="L189">
        <f>IF(K189="","",K189*Settings!$B$2)</f>
        <v/>
      </c>
      <c r="M189">
        <f>IF(D189="","",D189/E189*F189)</f>
        <v/>
      </c>
      <c r="N189">
        <f>IF(K189="","",IF(G189="Y",0,IF(D189&lt;Settings!$B$5,Settings!$B$3,Settings!$B$4)))</f>
        <v/>
      </c>
      <c r="O189">
        <f>IF(K189="","",IF(G189="Y",Settings!$B$7,Settings!$B$6))</f>
        <v/>
      </c>
      <c r="P189">
        <f>IF(K189="","",K189-L189-M189-N189-O189)</f>
        <v/>
      </c>
      <c r="Q189">
        <f>IF(P189="","",IF(P189&gt;=Settings!$B$8,"PASS","FAIL"))</f>
        <v/>
      </c>
    </row>
    <row r="190">
      <c r="I190">
        <f>IF(G190="Y",0,Settings!$B$6)</f>
        <v/>
      </c>
      <c r="J190">
        <f>IF(H190="","",H190-I190)</f>
        <v/>
      </c>
      <c r="K190">
        <f>IF(J190="","",J190+I190)</f>
        <v/>
      </c>
      <c r="L190">
        <f>IF(K190="","",K190*Settings!$B$2)</f>
        <v/>
      </c>
      <c r="M190">
        <f>IF(D190="","",D190/E190*F190)</f>
        <v/>
      </c>
      <c r="N190">
        <f>IF(K190="","",IF(G190="Y",0,IF(D190&lt;Settings!$B$5,Settings!$B$3,Settings!$B$4)))</f>
        <v/>
      </c>
      <c r="O190">
        <f>IF(K190="","",IF(G190="Y",Settings!$B$7,Settings!$B$6))</f>
        <v/>
      </c>
      <c r="P190">
        <f>IF(K190="","",K190-L190-M190-N190-O190)</f>
        <v/>
      </c>
      <c r="Q190">
        <f>IF(P190="","",IF(P190&gt;=Settings!$B$8,"PASS","FAIL"))</f>
        <v/>
      </c>
    </row>
    <row r="191">
      <c r="I191">
        <f>IF(G191="Y",0,Settings!$B$6)</f>
        <v/>
      </c>
      <c r="J191">
        <f>IF(H191="","",H191-I191)</f>
        <v/>
      </c>
      <c r="K191">
        <f>IF(J191="","",J191+I191)</f>
        <v/>
      </c>
      <c r="L191">
        <f>IF(K191="","",K191*Settings!$B$2)</f>
        <v/>
      </c>
      <c r="M191">
        <f>IF(D191="","",D191/E191*F191)</f>
        <v/>
      </c>
      <c r="N191">
        <f>IF(K191="","",IF(G191="Y",0,IF(D191&lt;Settings!$B$5,Settings!$B$3,Settings!$B$4)))</f>
        <v/>
      </c>
      <c r="O191">
        <f>IF(K191="","",IF(G191="Y",Settings!$B$7,Settings!$B$6))</f>
        <v/>
      </c>
      <c r="P191">
        <f>IF(K191="","",K191-L191-M191-N191-O191)</f>
        <v/>
      </c>
      <c r="Q191">
        <f>IF(P191="","",IF(P191&gt;=Settings!$B$8,"PASS","FAIL"))</f>
        <v/>
      </c>
    </row>
    <row r="192">
      <c r="I192">
        <f>IF(G192="Y",0,Settings!$B$6)</f>
        <v/>
      </c>
      <c r="J192">
        <f>IF(H192="","",H192-I192)</f>
        <v/>
      </c>
      <c r="K192">
        <f>IF(J192="","",J192+I192)</f>
        <v/>
      </c>
      <c r="L192">
        <f>IF(K192="","",K192*Settings!$B$2)</f>
        <v/>
      </c>
      <c r="M192">
        <f>IF(D192="","",D192/E192*F192)</f>
        <v/>
      </c>
      <c r="N192">
        <f>IF(K192="","",IF(G192="Y",0,IF(D192&lt;Settings!$B$5,Settings!$B$3,Settings!$B$4)))</f>
        <v/>
      </c>
      <c r="O192">
        <f>IF(K192="","",IF(G192="Y",Settings!$B$7,Settings!$B$6))</f>
        <v/>
      </c>
      <c r="P192">
        <f>IF(K192="","",K192-L192-M192-N192-O192)</f>
        <v/>
      </c>
      <c r="Q192">
        <f>IF(P192="","",IF(P192&gt;=Settings!$B$8,"PASS","FAIL"))</f>
        <v/>
      </c>
    </row>
    <row r="193">
      <c r="I193">
        <f>IF(G193="Y",0,Settings!$B$6)</f>
        <v/>
      </c>
      <c r="J193">
        <f>IF(H193="","",H193-I193)</f>
        <v/>
      </c>
      <c r="K193">
        <f>IF(J193="","",J193+I193)</f>
        <v/>
      </c>
      <c r="L193">
        <f>IF(K193="","",K193*Settings!$B$2)</f>
        <v/>
      </c>
      <c r="M193">
        <f>IF(D193="","",D193/E193*F193)</f>
        <v/>
      </c>
      <c r="N193">
        <f>IF(K193="","",IF(G193="Y",0,IF(D193&lt;Settings!$B$5,Settings!$B$3,Settings!$B$4)))</f>
        <v/>
      </c>
      <c r="O193">
        <f>IF(K193="","",IF(G193="Y",Settings!$B$7,Settings!$B$6))</f>
        <v/>
      </c>
      <c r="P193">
        <f>IF(K193="","",K193-L193-M193-N193-O193)</f>
        <v/>
      </c>
      <c r="Q193">
        <f>IF(P193="","",IF(P193&gt;=Settings!$B$8,"PASS","FAIL"))</f>
        <v/>
      </c>
    </row>
    <row r="194">
      <c r="I194">
        <f>IF(G194="Y",0,Settings!$B$6)</f>
        <v/>
      </c>
      <c r="J194">
        <f>IF(H194="","",H194-I194)</f>
        <v/>
      </c>
      <c r="K194">
        <f>IF(J194="","",J194+I194)</f>
        <v/>
      </c>
      <c r="L194">
        <f>IF(K194="","",K194*Settings!$B$2)</f>
        <v/>
      </c>
      <c r="M194">
        <f>IF(D194="","",D194/E194*F194)</f>
        <v/>
      </c>
      <c r="N194">
        <f>IF(K194="","",IF(G194="Y",0,IF(D194&lt;Settings!$B$5,Settings!$B$3,Settings!$B$4)))</f>
        <v/>
      </c>
      <c r="O194">
        <f>IF(K194="","",IF(G194="Y",Settings!$B$7,Settings!$B$6))</f>
        <v/>
      </c>
      <c r="P194">
        <f>IF(K194="","",K194-L194-M194-N194-O194)</f>
        <v/>
      </c>
      <c r="Q194">
        <f>IF(P194="","",IF(P194&gt;=Settings!$B$8,"PASS","FAIL"))</f>
        <v/>
      </c>
    </row>
    <row r="195">
      <c r="I195">
        <f>IF(G195="Y",0,Settings!$B$6)</f>
        <v/>
      </c>
      <c r="J195">
        <f>IF(H195="","",H195-I195)</f>
        <v/>
      </c>
      <c r="K195">
        <f>IF(J195="","",J195+I195)</f>
        <v/>
      </c>
      <c r="L195">
        <f>IF(K195="","",K195*Settings!$B$2)</f>
        <v/>
      </c>
      <c r="M195">
        <f>IF(D195="","",D195/E195*F195)</f>
        <v/>
      </c>
      <c r="N195">
        <f>IF(K195="","",IF(G195="Y",0,IF(D195&lt;Settings!$B$5,Settings!$B$3,Settings!$B$4)))</f>
        <v/>
      </c>
      <c r="O195">
        <f>IF(K195="","",IF(G195="Y",Settings!$B$7,Settings!$B$6))</f>
        <v/>
      </c>
      <c r="P195">
        <f>IF(K195="","",K195-L195-M195-N195-O195)</f>
        <v/>
      </c>
      <c r="Q195">
        <f>IF(P195="","",IF(P195&gt;=Settings!$B$8,"PASS","FAIL"))</f>
        <v/>
      </c>
    </row>
    <row r="196">
      <c r="I196">
        <f>IF(G196="Y",0,Settings!$B$6)</f>
        <v/>
      </c>
      <c r="J196">
        <f>IF(H196="","",H196-I196)</f>
        <v/>
      </c>
      <c r="K196">
        <f>IF(J196="","",J196+I196)</f>
        <v/>
      </c>
      <c r="L196">
        <f>IF(K196="","",K196*Settings!$B$2)</f>
        <v/>
      </c>
      <c r="M196">
        <f>IF(D196="","",D196/E196*F196)</f>
        <v/>
      </c>
      <c r="N196">
        <f>IF(K196="","",IF(G196="Y",0,IF(D196&lt;Settings!$B$5,Settings!$B$3,Settings!$B$4)))</f>
        <v/>
      </c>
      <c r="O196">
        <f>IF(K196="","",IF(G196="Y",Settings!$B$7,Settings!$B$6))</f>
        <v/>
      </c>
      <c r="P196">
        <f>IF(K196="","",K196-L196-M196-N196-O196)</f>
        <v/>
      </c>
      <c r="Q196">
        <f>IF(P196="","",IF(P196&gt;=Settings!$B$8,"PASS","FAIL"))</f>
        <v/>
      </c>
    </row>
    <row r="197">
      <c r="I197">
        <f>IF(G197="Y",0,Settings!$B$6)</f>
        <v/>
      </c>
      <c r="J197">
        <f>IF(H197="","",H197-I197)</f>
        <v/>
      </c>
      <c r="K197">
        <f>IF(J197="","",J197+I197)</f>
        <v/>
      </c>
      <c r="L197">
        <f>IF(K197="","",K197*Settings!$B$2)</f>
        <v/>
      </c>
      <c r="M197">
        <f>IF(D197="","",D197/E197*F197)</f>
        <v/>
      </c>
      <c r="N197">
        <f>IF(K197="","",IF(G197="Y",0,IF(D197&lt;Settings!$B$5,Settings!$B$3,Settings!$B$4)))</f>
        <v/>
      </c>
      <c r="O197">
        <f>IF(K197="","",IF(G197="Y",Settings!$B$7,Settings!$B$6))</f>
        <v/>
      </c>
      <c r="P197">
        <f>IF(K197="","",K197-L197-M197-N197-O197)</f>
        <v/>
      </c>
      <c r="Q197">
        <f>IF(P197="","",IF(P197&gt;=Settings!$B$8,"PASS","FAIL"))</f>
        <v/>
      </c>
    </row>
    <row r="198">
      <c r="I198">
        <f>IF(G198="Y",0,Settings!$B$6)</f>
        <v/>
      </c>
      <c r="J198">
        <f>IF(H198="","",H198-I198)</f>
        <v/>
      </c>
      <c r="K198">
        <f>IF(J198="","",J198+I198)</f>
        <v/>
      </c>
      <c r="L198">
        <f>IF(K198="","",K198*Settings!$B$2)</f>
        <v/>
      </c>
      <c r="M198">
        <f>IF(D198="","",D198/E198*F198)</f>
        <v/>
      </c>
      <c r="N198">
        <f>IF(K198="","",IF(G198="Y",0,IF(D198&lt;Settings!$B$5,Settings!$B$3,Settings!$B$4)))</f>
        <v/>
      </c>
      <c r="O198">
        <f>IF(K198="","",IF(G198="Y",Settings!$B$7,Settings!$B$6))</f>
        <v/>
      </c>
      <c r="P198">
        <f>IF(K198="","",K198-L198-M198-N198-O198)</f>
        <v/>
      </c>
      <c r="Q198">
        <f>IF(P198="","",IF(P198&gt;=Settings!$B$8,"PASS","FAIL"))</f>
        <v/>
      </c>
    </row>
    <row r="199">
      <c r="I199">
        <f>IF(G199="Y",0,Settings!$B$6)</f>
        <v/>
      </c>
      <c r="J199">
        <f>IF(H199="","",H199-I199)</f>
        <v/>
      </c>
      <c r="K199">
        <f>IF(J199="","",J199+I199)</f>
        <v/>
      </c>
      <c r="L199">
        <f>IF(K199="","",K199*Settings!$B$2)</f>
        <v/>
      </c>
      <c r="M199">
        <f>IF(D199="","",D199/E199*F199)</f>
        <v/>
      </c>
      <c r="N199">
        <f>IF(K199="","",IF(G199="Y",0,IF(D199&lt;Settings!$B$5,Settings!$B$3,Settings!$B$4)))</f>
        <v/>
      </c>
      <c r="O199">
        <f>IF(K199="","",IF(G199="Y",Settings!$B$7,Settings!$B$6))</f>
        <v/>
      </c>
      <c r="P199">
        <f>IF(K199="","",K199-L199-M199-N199-O199)</f>
        <v/>
      </c>
      <c r="Q199">
        <f>IF(P199="","",IF(P199&gt;=Settings!$B$8,"PASS","FAIL"))</f>
        <v/>
      </c>
    </row>
    <row r="200">
      <c r="I200">
        <f>IF(G200="Y",0,Settings!$B$6)</f>
        <v/>
      </c>
      <c r="J200">
        <f>IF(H200="","",H200-I200)</f>
        <v/>
      </c>
      <c r="K200">
        <f>IF(J200="","",J200+I200)</f>
        <v/>
      </c>
      <c r="L200">
        <f>IF(K200="","",K200*Settings!$B$2)</f>
        <v/>
      </c>
      <c r="M200">
        <f>IF(D200="","",D200/E200*F200)</f>
        <v/>
      </c>
      <c r="N200">
        <f>IF(K200="","",IF(G200="Y",0,IF(D200&lt;Settings!$B$5,Settings!$B$3,Settings!$B$4)))</f>
        <v/>
      </c>
      <c r="O200">
        <f>IF(K200="","",IF(G200="Y",Settings!$B$7,Settings!$B$6))</f>
        <v/>
      </c>
      <c r="P200">
        <f>IF(K200="","",K200-L200-M200-N200-O200)</f>
        <v/>
      </c>
      <c r="Q200">
        <f>IF(P200="","",IF(P200&gt;=Settings!$B$8,"PASS","FAIL"))</f>
        <v/>
      </c>
    </row>
    <row r="201">
      <c r="I201">
        <f>IF(G201="Y",0,Settings!$B$6)</f>
        <v/>
      </c>
      <c r="J201">
        <f>IF(H201="","",H201-I201)</f>
        <v/>
      </c>
      <c r="K201">
        <f>IF(J201="","",J201+I201)</f>
        <v/>
      </c>
      <c r="L201">
        <f>IF(K201="","",K201*Settings!$B$2)</f>
        <v/>
      </c>
      <c r="M201">
        <f>IF(D201="","",D201/E201*F201)</f>
        <v/>
      </c>
      <c r="N201">
        <f>IF(K201="","",IF(G201="Y",0,IF(D201&lt;Settings!$B$5,Settings!$B$3,Settings!$B$4)))</f>
        <v/>
      </c>
      <c r="O201">
        <f>IF(K201="","",IF(G201="Y",Settings!$B$7,Settings!$B$6))</f>
        <v/>
      </c>
      <c r="P201">
        <f>IF(K201="","",K201-L201-M201-N201-O201)</f>
        <v/>
      </c>
      <c r="Q201">
        <f>IF(P201="","",IF(P201&gt;=Settings!$B$8,"PASS","FAIL"))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12" customWidth="1" min="4" max="4"/>
    <col width="14" customWidth="1" min="5" max="5"/>
    <col width="36" customWidth="1" min="6" max="6"/>
    <col width="24" customWidth="1" min="7" max="7"/>
    <col width="11" customWidth="1" min="8" max="8"/>
    <col width="10" customWidth="1" min="9" max="9"/>
    <col width="12" customWidth="1" min="10" max="10"/>
    <col width="12" customWidth="1" min="11" max="11"/>
    <col width="12" customWidth="1" min="12" max="12"/>
    <col width="16" customWidth="1" min="13" max="13"/>
    <col width="30" customWidth="1" min="14" max="14"/>
  </cols>
  <sheetData>
    <row r="1">
      <c r="A1" s="3" t="inlineStr">
        <is>
          <t>Date</t>
        </is>
      </c>
      <c r="B1" s="3" t="inlineStr">
        <is>
          <t>Brand</t>
        </is>
      </c>
      <c r="C1" s="3" t="inlineStr">
        <is>
          <t>Gating status (Approved / Gated / Applied)</t>
        </is>
      </c>
      <c r="D1" s="3" t="inlineStr">
        <is>
          <t>Supplier SKU</t>
        </is>
      </c>
      <c r="E1" s="3" t="inlineStr">
        <is>
          <t>UPC</t>
        </is>
      </c>
      <c r="F1" s="3" t="inlineStr">
        <is>
          <t>Product</t>
        </is>
      </c>
      <c r="G1" s="3" t="inlineStr">
        <is>
          <t>ASIN(s) found</t>
        </is>
      </c>
      <c r="H1" s="3" t="inlineStr">
        <is>
          <t>Lowest total</t>
        </is>
      </c>
      <c r="I1" s="3" t="inlineStr">
        <is>
          <t>Seller count</t>
        </is>
      </c>
      <c r="J1" s="3" t="inlineStr">
        <is>
          <t>FBA seller present? (Y/N)</t>
        </is>
      </c>
      <c r="K1" s="3" t="inlineStr">
        <is>
          <t>Already live on this ASIN? (Y/N)</t>
        </is>
      </c>
      <c r="L1" s="3" t="inlineStr">
        <is>
          <t>Profit (from calculator)</t>
        </is>
      </c>
      <c r="M1" s="3" t="inlineStr">
        <is>
          <t>Decision (List / Skip / Recheck later)</t>
        </is>
      </c>
      <c r="N1" s="3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4" customWidth="1" min="9" max="9"/>
    <col width="10" customWidth="1" min="10" max="10"/>
    <col width="10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3" t="inlineStr">
        <is>
          <t>Audit date</t>
        </is>
      </c>
      <c r="B1" s="3" t="inlineStr">
        <is>
          <t>ASIN</t>
        </is>
      </c>
      <c r="C1" s="3" t="inlineStr">
        <is>
          <t>SKU</t>
        </is>
      </c>
      <c r="D1" s="3" t="inlineStr">
        <is>
          <t>My item price</t>
        </is>
      </c>
      <c r="E1" s="3" t="inlineStr">
        <is>
          <t>My shipping</t>
        </is>
      </c>
      <c r="F1" s="3" t="inlineStr">
        <is>
          <t>My total</t>
        </is>
      </c>
      <c r="G1" s="3" t="inlineStr">
        <is>
          <t>Featured Offer total</t>
        </is>
      </c>
      <c r="H1" s="3" t="inlineStr">
        <is>
          <t>Am I featured? (Y/N)</t>
        </is>
      </c>
      <c r="I1" s="3" t="inlineStr">
        <is>
          <t>Price to match (featured - shipping)</t>
        </is>
      </c>
      <c r="J1" s="3" t="inlineStr">
        <is>
          <t>Supplier price</t>
        </is>
      </c>
      <c r="K1" s="3" t="inlineStr">
        <is>
          <t>Drop-ship fee</t>
        </is>
      </c>
      <c r="L1" s="3" t="inlineStr">
        <is>
          <t>Referral fee at match</t>
        </is>
      </c>
      <c r="M1" s="3" t="inlineStr">
        <is>
          <t>Profit at match</t>
        </is>
      </c>
      <c r="N1" s="3" t="inlineStr">
        <is>
          <t>MATCH / HOLD</t>
        </is>
      </c>
      <c r="O1" s="3" t="inlineStr">
        <is>
          <t>New price set</t>
        </is>
      </c>
    </row>
    <row r="2">
      <c r="E2">
        <f>IF(D2="","",Settings!$B$6)</f>
        <v/>
      </c>
      <c r="F2">
        <f>IF(D2="","",D2+E2)</f>
        <v/>
      </c>
      <c r="I2">
        <f>IF(G2="","",G2-Settings!$B$6)</f>
        <v/>
      </c>
      <c r="K2">
        <f>IF(J2="","",IF(J2&lt;Settings!$B$5,Settings!$B$3,Settings!$B$4))</f>
        <v/>
      </c>
      <c r="L2">
        <f>IF(G2="","",G2*Settings!$B$2)</f>
        <v/>
      </c>
      <c r="M2">
        <f>IF(OR(G2="",J2=""),"",G2-L2-J2-K2-Settings!$B$6)</f>
        <v/>
      </c>
      <c r="N2">
        <f>IF(M2="","",IF(H2="Y","OK",IF(M2&gt;=Settings!$B$8,"MATCH","HOLD")))</f>
        <v/>
      </c>
    </row>
    <row r="3">
      <c r="E3">
        <f>IF(D3="","",Settings!$B$6)</f>
        <v/>
      </c>
      <c r="F3">
        <f>IF(D3="","",D3+E3)</f>
        <v/>
      </c>
      <c r="I3">
        <f>IF(G3="","",G3-Settings!$B$6)</f>
        <v/>
      </c>
      <c r="K3">
        <f>IF(J3="","",IF(J3&lt;Settings!$B$5,Settings!$B$3,Settings!$B$4))</f>
        <v/>
      </c>
      <c r="L3">
        <f>IF(G3="","",G3*Settings!$B$2)</f>
        <v/>
      </c>
      <c r="M3">
        <f>IF(OR(G3="",J3=""),"",G3-L3-J3-K3-Settings!$B$6)</f>
        <v/>
      </c>
      <c r="N3">
        <f>IF(M3="","",IF(H3="Y","OK",IF(M3&gt;=Settings!$B$8,"MATCH","HOLD")))</f>
        <v/>
      </c>
    </row>
    <row r="4">
      <c r="E4">
        <f>IF(D4="","",Settings!$B$6)</f>
        <v/>
      </c>
      <c r="F4">
        <f>IF(D4="","",D4+E4)</f>
        <v/>
      </c>
      <c r="I4">
        <f>IF(G4="","",G4-Settings!$B$6)</f>
        <v/>
      </c>
      <c r="K4">
        <f>IF(J4="","",IF(J4&lt;Settings!$B$5,Settings!$B$3,Settings!$B$4))</f>
        <v/>
      </c>
      <c r="L4">
        <f>IF(G4="","",G4*Settings!$B$2)</f>
        <v/>
      </c>
      <c r="M4">
        <f>IF(OR(G4="",J4=""),"",G4-L4-J4-K4-Settings!$B$6)</f>
        <v/>
      </c>
      <c r="N4">
        <f>IF(M4="","",IF(H4="Y","OK",IF(M4&gt;=Settings!$B$8,"MATCH","HOLD")))</f>
        <v/>
      </c>
    </row>
    <row r="5">
      <c r="E5">
        <f>IF(D5="","",Settings!$B$6)</f>
        <v/>
      </c>
      <c r="F5">
        <f>IF(D5="","",D5+E5)</f>
        <v/>
      </c>
      <c r="I5">
        <f>IF(G5="","",G5-Settings!$B$6)</f>
        <v/>
      </c>
      <c r="K5">
        <f>IF(J5="","",IF(J5&lt;Settings!$B$5,Settings!$B$3,Settings!$B$4))</f>
        <v/>
      </c>
      <c r="L5">
        <f>IF(G5="","",G5*Settings!$B$2)</f>
        <v/>
      </c>
      <c r="M5">
        <f>IF(OR(G5="",J5=""),"",G5-L5-J5-K5-Settings!$B$6)</f>
        <v/>
      </c>
      <c r="N5">
        <f>IF(M5="","",IF(H5="Y","OK",IF(M5&gt;=Settings!$B$8,"MATCH","HOLD")))</f>
        <v/>
      </c>
    </row>
    <row r="6">
      <c r="E6">
        <f>IF(D6="","",Settings!$B$6)</f>
        <v/>
      </c>
      <c r="F6">
        <f>IF(D6="","",D6+E6)</f>
        <v/>
      </c>
      <c r="I6">
        <f>IF(G6="","",G6-Settings!$B$6)</f>
        <v/>
      </c>
      <c r="K6">
        <f>IF(J6="","",IF(J6&lt;Settings!$B$5,Settings!$B$3,Settings!$B$4))</f>
        <v/>
      </c>
      <c r="L6">
        <f>IF(G6="","",G6*Settings!$B$2)</f>
        <v/>
      </c>
      <c r="M6">
        <f>IF(OR(G6="",J6=""),"",G6-L6-J6-K6-Settings!$B$6)</f>
        <v/>
      </c>
      <c r="N6">
        <f>IF(M6="","",IF(H6="Y","OK",IF(M6&gt;=Settings!$B$8,"MATCH","HOLD")))</f>
        <v/>
      </c>
    </row>
    <row r="7">
      <c r="E7">
        <f>IF(D7="","",Settings!$B$6)</f>
        <v/>
      </c>
      <c r="F7">
        <f>IF(D7="","",D7+E7)</f>
        <v/>
      </c>
      <c r="I7">
        <f>IF(G7="","",G7-Settings!$B$6)</f>
        <v/>
      </c>
      <c r="K7">
        <f>IF(J7="","",IF(J7&lt;Settings!$B$5,Settings!$B$3,Settings!$B$4))</f>
        <v/>
      </c>
      <c r="L7">
        <f>IF(G7="","",G7*Settings!$B$2)</f>
        <v/>
      </c>
      <c r="M7">
        <f>IF(OR(G7="",J7=""),"",G7-L7-J7-K7-Settings!$B$6)</f>
        <v/>
      </c>
      <c r="N7">
        <f>IF(M7="","",IF(H7="Y","OK",IF(M7&gt;=Settings!$B$8,"MATCH","HOLD")))</f>
        <v/>
      </c>
    </row>
    <row r="8">
      <c r="E8">
        <f>IF(D8="","",Settings!$B$6)</f>
        <v/>
      </c>
      <c r="F8">
        <f>IF(D8="","",D8+E8)</f>
        <v/>
      </c>
      <c r="I8">
        <f>IF(G8="","",G8-Settings!$B$6)</f>
        <v/>
      </c>
      <c r="K8">
        <f>IF(J8="","",IF(J8&lt;Settings!$B$5,Settings!$B$3,Settings!$B$4))</f>
        <v/>
      </c>
      <c r="L8">
        <f>IF(G8="","",G8*Settings!$B$2)</f>
        <v/>
      </c>
      <c r="M8">
        <f>IF(OR(G8="",J8=""),"",G8-L8-J8-K8-Settings!$B$6)</f>
        <v/>
      </c>
      <c r="N8">
        <f>IF(M8="","",IF(H8="Y","OK",IF(M8&gt;=Settings!$B$8,"MATCH","HOLD")))</f>
        <v/>
      </c>
    </row>
    <row r="9">
      <c r="E9">
        <f>IF(D9="","",Settings!$B$6)</f>
        <v/>
      </c>
      <c r="F9">
        <f>IF(D9="","",D9+E9)</f>
        <v/>
      </c>
      <c r="I9">
        <f>IF(G9="","",G9-Settings!$B$6)</f>
        <v/>
      </c>
      <c r="K9">
        <f>IF(J9="","",IF(J9&lt;Settings!$B$5,Settings!$B$3,Settings!$B$4))</f>
        <v/>
      </c>
      <c r="L9">
        <f>IF(G9="","",G9*Settings!$B$2)</f>
        <v/>
      </c>
      <c r="M9">
        <f>IF(OR(G9="",J9=""),"",G9-L9-J9-K9-Settings!$B$6)</f>
        <v/>
      </c>
      <c r="N9">
        <f>IF(M9="","",IF(H9="Y","OK",IF(M9&gt;=Settings!$B$8,"MATCH","HOLD")))</f>
        <v/>
      </c>
    </row>
    <row r="10">
      <c r="E10">
        <f>IF(D10="","",Settings!$B$6)</f>
        <v/>
      </c>
      <c r="F10">
        <f>IF(D10="","",D10+E10)</f>
        <v/>
      </c>
      <c r="I10">
        <f>IF(G10="","",G10-Settings!$B$6)</f>
        <v/>
      </c>
      <c r="K10">
        <f>IF(J10="","",IF(J10&lt;Settings!$B$5,Settings!$B$3,Settings!$B$4))</f>
        <v/>
      </c>
      <c r="L10">
        <f>IF(G10="","",G10*Settings!$B$2)</f>
        <v/>
      </c>
      <c r="M10">
        <f>IF(OR(G10="",J10=""),"",G10-L10-J10-K10-Settings!$B$6)</f>
        <v/>
      </c>
      <c r="N10">
        <f>IF(M10="","",IF(H10="Y","OK",IF(M10&gt;=Settings!$B$8,"MATCH","HOLD")))</f>
        <v/>
      </c>
    </row>
    <row r="11">
      <c r="E11">
        <f>IF(D11="","",Settings!$B$6)</f>
        <v/>
      </c>
      <c r="F11">
        <f>IF(D11="","",D11+E11)</f>
        <v/>
      </c>
      <c r="I11">
        <f>IF(G11="","",G11-Settings!$B$6)</f>
        <v/>
      </c>
      <c r="K11">
        <f>IF(J11="","",IF(J11&lt;Settings!$B$5,Settings!$B$3,Settings!$B$4))</f>
        <v/>
      </c>
      <c r="L11">
        <f>IF(G11="","",G11*Settings!$B$2)</f>
        <v/>
      </c>
      <c r="M11">
        <f>IF(OR(G11="",J11=""),"",G11-L11-J11-K11-Settings!$B$6)</f>
        <v/>
      </c>
      <c r="N11">
        <f>IF(M11="","",IF(H11="Y","OK",IF(M11&gt;=Settings!$B$8,"MATCH","HOLD")))</f>
        <v/>
      </c>
    </row>
    <row r="12">
      <c r="E12">
        <f>IF(D12="","",Settings!$B$6)</f>
        <v/>
      </c>
      <c r="F12">
        <f>IF(D12="","",D12+E12)</f>
        <v/>
      </c>
      <c r="I12">
        <f>IF(G12="","",G12-Settings!$B$6)</f>
        <v/>
      </c>
      <c r="K12">
        <f>IF(J12="","",IF(J12&lt;Settings!$B$5,Settings!$B$3,Settings!$B$4))</f>
        <v/>
      </c>
      <c r="L12">
        <f>IF(G12="","",G12*Settings!$B$2)</f>
        <v/>
      </c>
      <c r="M12">
        <f>IF(OR(G12="",J12=""),"",G12-L12-J12-K12-Settings!$B$6)</f>
        <v/>
      </c>
      <c r="N12">
        <f>IF(M12="","",IF(H12="Y","OK",IF(M12&gt;=Settings!$B$8,"MATCH","HOLD")))</f>
        <v/>
      </c>
    </row>
    <row r="13">
      <c r="E13">
        <f>IF(D13="","",Settings!$B$6)</f>
        <v/>
      </c>
      <c r="F13">
        <f>IF(D13="","",D13+E13)</f>
        <v/>
      </c>
      <c r="I13">
        <f>IF(G13="","",G13-Settings!$B$6)</f>
        <v/>
      </c>
      <c r="K13">
        <f>IF(J13="","",IF(J13&lt;Settings!$B$5,Settings!$B$3,Settings!$B$4))</f>
        <v/>
      </c>
      <c r="L13">
        <f>IF(G13="","",G13*Settings!$B$2)</f>
        <v/>
      </c>
      <c r="M13">
        <f>IF(OR(G13="",J13=""),"",G13-L13-J13-K13-Settings!$B$6)</f>
        <v/>
      </c>
      <c r="N13">
        <f>IF(M13="","",IF(H13="Y","OK",IF(M13&gt;=Settings!$B$8,"MATCH","HOLD")))</f>
        <v/>
      </c>
    </row>
    <row r="14">
      <c r="E14">
        <f>IF(D14="","",Settings!$B$6)</f>
        <v/>
      </c>
      <c r="F14">
        <f>IF(D14="","",D14+E14)</f>
        <v/>
      </c>
      <c r="I14">
        <f>IF(G14="","",G14-Settings!$B$6)</f>
        <v/>
      </c>
      <c r="K14">
        <f>IF(J14="","",IF(J14&lt;Settings!$B$5,Settings!$B$3,Settings!$B$4))</f>
        <v/>
      </c>
      <c r="L14">
        <f>IF(G14="","",G14*Settings!$B$2)</f>
        <v/>
      </c>
      <c r="M14">
        <f>IF(OR(G14="",J14=""),"",G14-L14-J14-K14-Settings!$B$6)</f>
        <v/>
      </c>
      <c r="N14">
        <f>IF(M14="","",IF(H14="Y","OK",IF(M14&gt;=Settings!$B$8,"MATCH","HOLD")))</f>
        <v/>
      </c>
    </row>
    <row r="15">
      <c r="E15">
        <f>IF(D15="","",Settings!$B$6)</f>
        <v/>
      </c>
      <c r="F15">
        <f>IF(D15="","",D15+E15)</f>
        <v/>
      </c>
      <c r="I15">
        <f>IF(G15="","",G15-Settings!$B$6)</f>
        <v/>
      </c>
      <c r="K15">
        <f>IF(J15="","",IF(J15&lt;Settings!$B$5,Settings!$B$3,Settings!$B$4))</f>
        <v/>
      </c>
      <c r="L15">
        <f>IF(G15="","",G15*Settings!$B$2)</f>
        <v/>
      </c>
      <c r="M15">
        <f>IF(OR(G15="",J15=""),"",G15-L15-J15-K15-Settings!$B$6)</f>
        <v/>
      </c>
      <c r="N15">
        <f>IF(M15="","",IF(H15="Y","OK",IF(M15&gt;=Settings!$B$8,"MATCH","HOLD")))</f>
        <v/>
      </c>
    </row>
    <row r="16">
      <c r="E16">
        <f>IF(D16="","",Settings!$B$6)</f>
        <v/>
      </c>
      <c r="F16">
        <f>IF(D16="","",D16+E16)</f>
        <v/>
      </c>
      <c r="I16">
        <f>IF(G16="","",G16-Settings!$B$6)</f>
        <v/>
      </c>
      <c r="K16">
        <f>IF(J16="","",IF(J16&lt;Settings!$B$5,Settings!$B$3,Settings!$B$4))</f>
        <v/>
      </c>
      <c r="L16">
        <f>IF(G16="","",G16*Settings!$B$2)</f>
        <v/>
      </c>
      <c r="M16">
        <f>IF(OR(G16="",J16=""),"",G16-L16-J16-K16-Settings!$B$6)</f>
        <v/>
      </c>
      <c r="N16">
        <f>IF(M16="","",IF(H16="Y","OK",IF(M16&gt;=Settings!$B$8,"MATCH","HOLD")))</f>
        <v/>
      </c>
    </row>
    <row r="17">
      <c r="E17">
        <f>IF(D17="","",Settings!$B$6)</f>
        <v/>
      </c>
      <c r="F17">
        <f>IF(D17="","",D17+E17)</f>
        <v/>
      </c>
      <c r="I17">
        <f>IF(G17="","",G17-Settings!$B$6)</f>
        <v/>
      </c>
      <c r="K17">
        <f>IF(J17="","",IF(J17&lt;Settings!$B$5,Settings!$B$3,Settings!$B$4))</f>
        <v/>
      </c>
      <c r="L17">
        <f>IF(G17="","",G17*Settings!$B$2)</f>
        <v/>
      </c>
      <c r="M17">
        <f>IF(OR(G17="",J17=""),"",G17-L17-J17-K17-Settings!$B$6)</f>
        <v/>
      </c>
      <c r="N17">
        <f>IF(M17="","",IF(H17="Y","OK",IF(M17&gt;=Settings!$B$8,"MATCH","HOLD")))</f>
        <v/>
      </c>
    </row>
    <row r="18">
      <c r="E18">
        <f>IF(D18="","",Settings!$B$6)</f>
        <v/>
      </c>
      <c r="F18">
        <f>IF(D18="","",D18+E18)</f>
        <v/>
      </c>
      <c r="I18">
        <f>IF(G18="","",G18-Settings!$B$6)</f>
        <v/>
      </c>
      <c r="K18">
        <f>IF(J18="","",IF(J18&lt;Settings!$B$5,Settings!$B$3,Settings!$B$4))</f>
        <v/>
      </c>
      <c r="L18">
        <f>IF(G18="","",G18*Settings!$B$2)</f>
        <v/>
      </c>
      <c r="M18">
        <f>IF(OR(G18="",J18=""),"",G18-L18-J18-K18-Settings!$B$6)</f>
        <v/>
      </c>
      <c r="N18">
        <f>IF(M18="","",IF(H18="Y","OK",IF(M18&gt;=Settings!$B$8,"MATCH","HOLD")))</f>
        <v/>
      </c>
    </row>
    <row r="19">
      <c r="E19">
        <f>IF(D19="","",Settings!$B$6)</f>
        <v/>
      </c>
      <c r="F19">
        <f>IF(D19="","",D19+E19)</f>
        <v/>
      </c>
      <c r="I19">
        <f>IF(G19="","",G19-Settings!$B$6)</f>
        <v/>
      </c>
      <c r="K19">
        <f>IF(J19="","",IF(J19&lt;Settings!$B$5,Settings!$B$3,Settings!$B$4))</f>
        <v/>
      </c>
      <c r="L19">
        <f>IF(G19="","",G19*Settings!$B$2)</f>
        <v/>
      </c>
      <c r="M19">
        <f>IF(OR(G19="",J19=""),"",G19-L19-J19-K19-Settings!$B$6)</f>
        <v/>
      </c>
      <c r="N19">
        <f>IF(M19="","",IF(H19="Y","OK",IF(M19&gt;=Settings!$B$8,"MATCH","HOLD")))</f>
        <v/>
      </c>
    </row>
    <row r="20">
      <c r="E20">
        <f>IF(D20="","",Settings!$B$6)</f>
        <v/>
      </c>
      <c r="F20">
        <f>IF(D20="","",D20+E20)</f>
        <v/>
      </c>
      <c r="I20">
        <f>IF(G20="","",G20-Settings!$B$6)</f>
        <v/>
      </c>
      <c r="K20">
        <f>IF(J20="","",IF(J20&lt;Settings!$B$5,Settings!$B$3,Settings!$B$4))</f>
        <v/>
      </c>
      <c r="L20">
        <f>IF(G20="","",G20*Settings!$B$2)</f>
        <v/>
      </c>
      <c r="M20">
        <f>IF(OR(G20="",J20=""),"",G20-L20-J20-K20-Settings!$B$6)</f>
        <v/>
      </c>
      <c r="N20">
        <f>IF(M20="","",IF(H20="Y","OK",IF(M20&gt;=Settings!$B$8,"MATCH","HOLD")))</f>
        <v/>
      </c>
    </row>
    <row r="21">
      <c r="E21">
        <f>IF(D21="","",Settings!$B$6)</f>
        <v/>
      </c>
      <c r="F21">
        <f>IF(D21="","",D21+E21)</f>
        <v/>
      </c>
      <c r="I21">
        <f>IF(G21="","",G21-Settings!$B$6)</f>
        <v/>
      </c>
      <c r="K21">
        <f>IF(J21="","",IF(J21&lt;Settings!$B$5,Settings!$B$3,Settings!$B$4))</f>
        <v/>
      </c>
      <c r="L21">
        <f>IF(G21="","",G21*Settings!$B$2)</f>
        <v/>
      </c>
      <c r="M21">
        <f>IF(OR(G21="",J21=""),"",G21-L21-J21-K21-Settings!$B$6)</f>
        <v/>
      </c>
      <c r="N21">
        <f>IF(M21="","",IF(H21="Y","OK",IF(M21&gt;=Settings!$B$8,"MATCH","HOLD")))</f>
        <v/>
      </c>
    </row>
    <row r="22">
      <c r="E22">
        <f>IF(D22="","",Settings!$B$6)</f>
        <v/>
      </c>
      <c r="F22">
        <f>IF(D22="","",D22+E22)</f>
        <v/>
      </c>
      <c r="I22">
        <f>IF(G22="","",G22-Settings!$B$6)</f>
        <v/>
      </c>
      <c r="K22">
        <f>IF(J22="","",IF(J22&lt;Settings!$B$5,Settings!$B$3,Settings!$B$4))</f>
        <v/>
      </c>
      <c r="L22">
        <f>IF(G22="","",G22*Settings!$B$2)</f>
        <v/>
      </c>
      <c r="M22">
        <f>IF(OR(G22="",J22=""),"",G22-L22-J22-K22-Settings!$B$6)</f>
        <v/>
      </c>
      <c r="N22">
        <f>IF(M22="","",IF(H22="Y","OK",IF(M22&gt;=Settings!$B$8,"MATCH","HOLD")))</f>
        <v/>
      </c>
    </row>
    <row r="23">
      <c r="E23">
        <f>IF(D23="","",Settings!$B$6)</f>
        <v/>
      </c>
      <c r="F23">
        <f>IF(D23="","",D23+E23)</f>
        <v/>
      </c>
      <c r="I23">
        <f>IF(G23="","",G23-Settings!$B$6)</f>
        <v/>
      </c>
      <c r="K23">
        <f>IF(J23="","",IF(J23&lt;Settings!$B$5,Settings!$B$3,Settings!$B$4))</f>
        <v/>
      </c>
      <c r="L23">
        <f>IF(G23="","",G23*Settings!$B$2)</f>
        <v/>
      </c>
      <c r="M23">
        <f>IF(OR(G23="",J23=""),"",G23-L23-J23-K23-Settings!$B$6)</f>
        <v/>
      </c>
      <c r="N23">
        <f>IF(M23="","",IF(H23="Y","OK",IF(M23&gt;=Settings!$B$8,"MATCH","HOLD")))</f>
        <v/>
      </c>
    </row>
    <row r="24">
      <c r="E24">
        <f>IF(D24="","",Settings!$B$6)</f>
        <v/>
      </c>
      <c r="F24">
        <f>IF(D24="","",D24+E24)</f>
        <v/>
      </c>
      <c r="I24">
        <f>IF(G24="","",G24-Settings!$B$6)</f>
        <v/>
      </c>
      <c r="K24">
        <f>IF(J24="","",IF(J24&lt;Settings!$B$5,Settings!$B$3,Settings!$B$4))</f>
        <v/>
      </c>
      <c r="L24">
        <f>IF(G24="","",G24*Settings!$B$2)</f>
        <v/>
      </c>
      <c r="M24">
        <f>IF(OR(G24="",J24=""),"",G24-L24-J24-K24-Settings!$B$6)</f>
        <v/>
      </c>
      <c r="N24">
        <f>IF(M24="","",IF(H24="Y","OK",IF(M24&gt;=Settings!$B$8,"MATCH","HOLD")))</f>
        <v/>
      </c>
    </row>
    <row r="25">
      <c r="E25">
        <f>IF(D25="","",Settings!$B$6)</f>
        <v/>
      </c>
      <c r="F25">
        <f>IF(D25="","",D25+E25)</f>
        <v/>
      </c>
      <c r="I25">
        <f>IF(G25="","",G25-Settings!$B$6)</f>
        <v/>
      </c>
      <c r="K25">
        <f>IF(J25="","",IF(J25&lt;Settings!$B$5,Settings!$B$3,Settings!$B$4))</f>
        <v/>
      </c>
      <c r="L25">
        <f>IF(G25="","",G25*Settings!$B$2)</f>
        <v/>
      </c>
      <c r="M25">
        <f>IF(OR(G25="",J25=""),"",G25-L25-J25-K25-Settings!$B$6)</f>
        <v/>
      </c>
      <c r="N25">
        <f>IF(M25="","",IF(H25="Y","OK",IF(M25&gt;=Settings!$B$8,"MATCH","HOLD")))</f>
        <v/>
      </c>
    </row>
    <row r="26">
      <c r="E26">
        <f>IF(D26="","",Settings!$B$6)</f>
        <v/>
      </c>
      <c r="F26">
        <f>IF(D26="","",D26+E26)</f>
        <v/>
      </c>
      <c r="I26">
        <f>IF(G26="","",G26-Settings!$B$6)</f>
        <v/>
      </c>
      <c r="K26">
        <f>IF(J26="","",IF(J26&lt;Settings!$B$5,Settings!$B$3,Settings!$B$4))</f>
        <v/>
      </c>
      <c r="L26">
        <f>IF(G26="","",G26*Settings!$B$2)</f>
        <v/>
      </c>
      <c r="M26">
        <f>IF(OR(G26="",J26=""),"",G26-L26-J26-K26-Settings!$B$6)</f>
        <v/>
      </c>
      <c r="N26">
        <f>IF(M26="","",IF(H26="Y","OK",IF(M26&gt;=Settings!$B$8,"MATCH","HOLD")))</f>
        <v/>
      </c>
    </row>
    <row r="27">
      <c r="E27">
        <f>IF(D27="","",Settings!$B$6)</f>
        <v/>
      </c>
      <c r="F27">
        <f>IF(D27="","",D27+E27)</f>
        <v/>
      </c>
      <c r="I27">
        <f>IF(G27="","",G27-Settings!$B$6)</f>
        <v/>
      </c>
      <c r="K27">
        <f>IF(J27="","",IF(J27&lt;Settings!$B$5,Settings!$B$3,Settings!$B$4))</f>
        <v/>
      </c>
      <c r="L27">
        <f>IF(G27="","",G27*Settings!$B$2)</f>
        <v/>
      </c>
      <c r="M27">
        <f>IF(OR(G27="",J27=""),"",G27-L27-J27-K27-Settings!$B$6)</f>
        <v/>
      </c>
      <c r="N27">
        <f>IF(M27="","",IF(H27="Y","OK",IF(M27&gt;=Settings!$B$8,"MATCH","HOLD")))</f>
        <v/>
      </c>
    </row>
    <row r="28">
      <c r="E28">
        <f>IF(D28="","",Settings!$B$6)</f>
        <v/>
      </c>
      <c r="F28">
        <f>IF(D28="","",D28+E28)</f>
        <v/>
      </c>
      <c r="I28">
        <f>IF(G28="","",G28-Settings!$B$6)</f>
        <v/>
      </c>
      <c r="K28">
        <f>IF(J28="","",IF(J28&lt;Settings!$B$5,Settings!$B$3,Settings!$B$4))</f>
        <v/>
      </c>
      <c r="L28">
        <f>IF(G28="","",G28*Settings!$B$2)</f>
        <v/>
      </c>
      <c r="M28">
        <f>IF(OR(G28="",J28=""),"",G28-L28-J28-K28-Settings!$B$6)</f>
        <v/>
      </c>
      <c r="N28">
        <f>IF(M28="","",IF(H28="Y","OK",IF(M28&gt;=Settings!$B$8,"MATCH","HOLD")))</f>
        <v/>
      </c>
    </row>
    <row r="29">
      <c r="E29">
        <f>IF(D29="","",Settings!$B$6)</f>
        <v/>
      </c>
      <c r="F29">
        <f>IF(D29="","",D29+E29)</f>
        <v/>
      </c>
      <c r="I29">
        <f>IF(G29="","",G29-Settings!$B$6)</f>
        <v/>
      </c>
      <c r="K29">
        <f>IF(J29="","",IF(J29&lt;Settings!$B$5,Settings!$B$3,Settings!$B$4))</f>
        <v/>
      </c>
      <c r="L29">
        <f>IF(G29="","",G29*Settings!$B$2)</f>
        <v/>
      </c>
      <c r="M29">
        <f>IF(OR(G29="",J29=""),"",G29-L29-J29-K29-Settings!$B$6)</f>
        <v/>
      </c>
      <c r="N29">
        <f>IF(M29="","",IF(H29="Y","OK",IF(M29&gt;=Settings!$B$8,"MATCH","HOLD")))</f>
        <v/>
      </c>
    </row>
    <row r="30">
      <c r="E30">
        <f>IF(D30="","",Settings!$B$6)</f>
        <v/>
      </c>
      <c r="F30">
        <f>IF(D30="","",D30+E30)</f>
        <v/>
      </c>
      <c r="I30">
        <f>IF(G30="","",G30-Settings!$B$6)</f>
        <v/>
      </c>
      <c r="K30">
        <f>IF(J30="","",IF(J30&lt;Settings!$B$5,Settings!$B$3,Settings!$B$4))</f>
        <v/>
      </c>
      <c r="L30">
        <f>IF(G30="","",G30*Settings!$B$2)</f>
        <v/>
      </c>
      <c r="M30">
        <f>IF(OR(G30="",J30=""),"",G30-L30-J30-K30-Settings!$B$6)</f>
        <v/>
      </c>
      <c r="N30">
        <f>IF(M30="","",IF(H30="Y","OK",IF(M30&gt;=Settings!$B$8,"MATCH","HOLD")))</f>
        <v/>
      </c>
    </row>
    <row r="31">
      <c r="E31">
        <f>IF(D31="","",Settings!$B$6)</f>
        <v/>
      </c>
      <c r="F31">
        <f>IF(D31="","",D31+E31)</f>
        <v/>
      </c>
      <c r="I31">
        <f>IF(G31="","",G31-Settings!$B$6)</f>
        <v/>
      </c>
      <c r="K31">
        <f>IF(J31="","",IF(J31&lt;Settings!$B$5,Settings!$B$3,Settings!$B$4))</f>
        <v/>
      </c>
      <c r="L31">
        <f>IF(G31="","",G31*Settings!$B$2)</f>
        <v/>
      </c>
      <c r="M31">
        <f>IF(OR(G31="",J31=""),"",G31-L31-J31-K31-Settings!$B$6)</f>
        <v/>
      </c>
      <c r="N31">
        <f>IF(M31="","",IF(H31="Y","OK",IF(M31&gt;=Settings!$B$8,"MATCH","HOLD")))</f>
        <v/>
      </c>
    </row>
    <row r="32">
      <c r="E32">
        <f>IF(D32="","",Settings!$B$6)</f>
        <v/>
      </c>
      <c r="F32">
        <f>IF(D32="","",D32+E32)</f>
        <v/>
      </c>
      <c r="I32">
        <f>IF(G32="","",G32-Settings!$B$6)</f>
        <v/>
      </c>
      <c r="K32">
        <f>IF(J32="","",IF(J32&lt;Settings!$B$5,Settings!$B$3,Settings!$B$4))</f>
        <v/>
      </c>
      <c r="L32">
        <f>IF(G32="","",G32*Settings!$B$2)</f>
        <v/>
      </c>
      <c r="M32">
        <f>IF(OR(G32="",J32=""),"",G32-L32-J32-K32-Settings!$B$6)</f>
        <v/>
      </c>
      <c r="N32">
        <f>IF(M32="","",IF(H32="Y","OK",IF(M32&gt;=Settings!$B$8,"MATCH","HOLD")))</f>
        <v/>
      </c>
    </row>
    <row r="33">
      <c r="E33">
        <f>IF(D33="","",Settings!$B$6)</f>
        <v/>
      </c>
      <c r="F33">
        <f>IF(D33="","",D33+E33)</f>
        <v/>
      </c>
      <c r="I33">
        <f>IF(G33="","",G33-Settings!$B$6)</f>
        <v/>
      </c>
      <c r="K33">
        <f>IF(J33="","",IF(J33&lt;Settings!$B$5,Settings!$B$3,Settings!$B$4))</f>
        <v/>
      </c>
      <c r="L33">
        <f>IF(G33="","",G33*Settings!$B$2)</f>
        <v/>
      </c>
      <c r="M33">
        <f>IF(OR(G33="",J33=""),"",G33-L33-J33-K33-Settings!$B$6)</f>
        <v/>
      </c>
      <c r="N33">
        <f>IF(M33="","",IF(H33="Y","OK",IF(M33&gt;=Settings!$B$8,"MATCH","HOLD")))</f>
        <v/>
      </c>
    </row>
    <row r="34">
      <c r="E34">
        <f>IF(D34="","",Settings!$B$6)</f>
        <v/>
      </c>
      <c r="F34">
        <f>IF(D34="","",D34+E34)</f>
        <v/>
      </c>
      <c r="I34">
        <f>IF(G34="","",G34-Settings!$B$6)</f>
        <v/>
      </c>
      <c r="K34">
        <f>IF(J34="","",IF(J34&lt;Settings!$B$5,Settings!$B$3,Settings!$B$4))</f>
        <v/>
      </c>
      <c r="L34">
        <f>IF(G34="","",G34*Settings!$B$2)</f>
        <v/>
      </c>
      <c r="M34">
        <f>IF(OR(G34="",J34=""),"",G34-L34-J34-K34-Settings!$B$6)</f>
        <v/>
      </c>
      <c r="N34">
        <f>IF(M34="","",IF(H34="Y","OK",IF(M34&gt;=Settings!$B$8,"MATCH","HOLD")))</f>
        <v/>
      </c>
    </row>
    <row r="35">
      <c r="E35">
        <f>IF(D35="","",Settings!$B$6)</f>
        <v/>
      </c>
      <c r="F35">
        <f>IF(D35="","",D35+E35)</f>
        <v/>
      </c>
      <c r="I35">
        <f>IF(G35="","",G35-Settings!$B$6)</f>
        <v/>
      </c>
      <c r="K35">
        <f>IF(J35="","",IF(J35&lt;Settings!$B$5,Settings!$B$3,Settings!$B$4))</f>
        <v/>
      </c>
      <c r="L35">
        <f>IF(G35="","",G35*Settings!$B$2)</f>
        <v/>
      </c>
      <c r="M35">
        <f>IF(OR(G35="",J35=""),"",G35-L35-J35-K35-Settings!$B$6)</f>
        <v/>
      </c>
      <c r="N35">
        <f>IF(M35="","",IF(H35="Y","OK",IF(M35&gt;=Settings!$B$8,"MATCH","HOLD")))</f>
        <v/>
      </c>
    </row>
    <row r="36">
      <c r="E36">
        <f>IF(D36="","",Settings!$B$6)</f>
        <v/>
      </c>
      <c r="F36">
        <f>IF(D36="","",D36+E36)</f>
        <v/>
      </c>
      <c r="I36">
        <f>IF(G36="","",G36-Settings!$B$6)</f>
        <v/>
      </c>
      <c r="K36">
        <f>IF(J36="","",IF(J36&lt;Settings!$B$5,Settings!$B$3,Settings!$B$4))</f>
        <v/>
      </c>
      <c r="L36">
        <f>IF(G36="","",G36*Settings!$B$2)</f>
        <v/>
      </c>
      <c r="M36">
        <f>IF(OR(G36="",J36=""),"",G36-L36-J36-K36-Settings!$B$6)</f>
        <v/>
      </c>
      <c r="N36">
        <f>IF(M36="","",IF(H36="Y","OK",IF(M36&gt;=Settings!$B$8,"MATCH","HOLD")))</f>
        <v/>
      </c>
    </row>
    <row r="37">
      <c r="E37">
        <f>IF(D37="","",Settings!$B$6)</f>
        <v/>
      </c>
      <c r="F37">
        <f>IF(D37="","",D37+E37)</f>
        <v/>
      </c>
      <c r="I37">
        <f>IF(G37="","",G37-Settings!$B$6)</f>
        <v/>
      </c>
      <c r="K37">
        <f>IF(J37="","",IF(J37&lt;Settings!$B$5,Settings!$B$3,Settings!$B$4))</f>
        <v/>
      </c>
      <c r="L37">
        <f>IF(G37="","",G37*Settings!$B$2)</f>
        <v/>
      </c>
      <c r="M37">
        <f>IF(OR(G37="",J37=""),"",G37-L37-J37-K37-Settings!$B$6)</f>
        <v/>
      </c>
      <c r="N37">
        <f>IF(M37="","",IF(H37="Y","OK",IF(M37&gt;=Settings!$B$8,"MATCH","HOLD")))</f>
        <v/>
      </c>
    </row>
    <row r="38">
      <c r="E38">
        <f>IF(D38="","",Settings!$B$6)</f>
        <v/>
      </c>
      <c r="F38">
        <f>IF(D38="","",D38+E38)</f>
        <v/>
      </c>
      <c r="I38">
        <f>IF(G38="","",G38-Settings!$B$6)</f>
        <v/>
      </c>
      <c r="K38">
        <f>IF(J38="","",IF(J38&lt;Settings!$B$5,Settings!$B$3,Settings!$B$4))</f>
        <v/>
      </c>
      <c r="L38">
        <f>IF(G38="","",G38*Settings!$B$2)</f>
        <v/>
      </c>
      <c r="M38">
        <f>IF(OR(G38="",J38=""),"",G38-L38-J38-K38-Settings!$B$6)</f>
        <v/>
      </c>
      <c r="N38">
        <f>IF(M38="","",IF(H38="Y","OK",IF(M38&gt;=Settings!$B$8,"MATCH","HOLD")))</f>
        <v/>
      </c>
    </row>
    <row r="39">
      <c r="E39">
        <f>IF(D39="","",Settings!$B$6)</f>
        <v/>
      </c>
      <c r="F39">
        <f>IF(D39="","",D39+E39)</f>
        <v/>
      </c>
      <c r="I39">
        <f>IF(G39="","",G39-Settings!$B$6)</f>
        <v/>
      </c>
      <c r="K39">
        <f>IF(J39="","",IF(J39&lt;Settings!$B$5,Settings!$B$3,Settings!$B$4))</f>
        <v/>
      </c>
      <c r="L39">
        <f>IF(G39="","",G39*Settings!$B$2)</f>
        <v/>
      </c>
      <c r="M39">
        <f>IF(OR(G39="",J39=""),"",G39-L39-J39-K39-Settings!$B$6)</f>
        <v/>
      </c>
      <c r="N39">
        <f>IF(M39="","",IF(H39="Y","OK",IF(M39&gt;=Settings!$B$8,"MATCH","HOLD")))</f>
        <v/>
      </c>
    </row>
    <row r="40">
      <c r="E40">
        <f>IF(D40="","",Settings!$B$6)</f>
        <v/>
      </c>
      <c r="F40">
        <f>IF(D40="","",D40+E40)</f>
        <v/>
      </c>
      <c r="I40">
        <f>IF(G40="","",G40-Settings!$B$6)</f>
        <v/>
      </c>
      <c r="K40">
        <f>IF(J40="","",IF(J40&lt;Settings!$B$5,Settings!$B$3,Settings!$B$4))</f>
        <v/>
      </c>
      <c r="L40">
        <f>IF(G40="","",G40*Settings!$B$2)</f>
        <v/>
      </c>
      <c r="M40">
        <f>IF(OR(G40="",J40=""),"",G40-L40-J40-K40-Settings!$B$6)</f>
        <v/>
      </c>
      <c r="N40">
        <f>IF(M40="","",IF(H40="Y","OK",IF(M40&gt;=Settings!$B$8,"MATCH","HOLD")))</f>
        <v/>
      </c>
    </row>
    <row r="41">
      <c r="E41">
        <f>IF(D41="","",Settings!$B$6)</f>
        <v/>
      </c>
      <c r="F41">
        <f>IF(D41="","",D41+E41)</f>
        <v/>
      </c>
      <c r="I41">
        <f>IF(G41="","",G41-Settings!$B$6)</f>
        <v/>
      </c>
      <c r="K41">
        <f>IF(J41="","",IF(J41&lt;Settings!$B$5,Settings!$B$3,Settings!$B$4))</f>
        <v/>
      </c>
      <c r="L41">
        <f>IF(G41="","",G41*Settings!$B$2)</f>
        <v/>
      </c>
      <c r="M41">
        <f>IF(OR(G41="",J41=""),"",G41-L41-J41-K41-Settings!$B$6)</f>
        <v/>
      </c>
      <c r="N41">
        <f>IF(M41="","",IF(H41="Y","OK",IF(M41&gt;=Settings!$B$8,"MATCH","HOLD")))</f>
        <v/>
      </c>
    </row>
    <row r="42">
      <c r="E42">
        <f>IF(D42="","",Settings!$B$6)</f>
        <v/>
      </c>
      <c r="F42">
        <f>IF(D42="","",D42+E42)</f>
        <v/>
      </c>
      <c r="I42">
        <f>IF(G42="","",G42-Settings!$B$6)</f>
        <v/>
      </c>
      <c r="K42">
        <f>IF(J42="","",IF(J42&lt;Settings!$B$5,Settings!$B$3,Settings!$B$4))</f>
        <v/>
      </c>
      <c r="L42">
        <f>IF(G42="","",G42*Settings!$B$2)</f>
        <v/>
      </c>
      <c r="M42">
        <f>IF(OR(G42="",J42=""),"",G42-L42-J42-K42-Settings!$B$6)</f>
        <v/>
      </c>
      <c r="N42">
        <f>IF(M42="","",IF(H42="Y","OK",IF(M42&gt;=Settings!$B$8,"MATCH","HOLD")))</f>
        <v/>
      </c>
    </row>
    <row r="43">
      <c r="E43">
        <f>IF(D43="","",Settings!$B$6)</f>
        <v/>
      </c>
      <c r="F43">
        <f>IF(D43="","",D43+E43)</f>
        <v/>
      </c>
      <c r="I43">
        <f>IF(G43="","",G43-Settings!$B$6)</f>
        <v/>
      </c>
      <c r="K43">
        <f>IF(J43="","",IF(J43&lt;Settings!$B$5,Settings!$B$3,Settings!$B$4))</f>
        <v/>
      </c>
      <c r="L43">
        <f>IF(G43="","",G43*Settings!$B$2)</f>
        <v/>
      </c>
      <c r="M43">
        <f>IF(OR(G43="",J43=""),"",G43-L43-J43-K43-Settings!$B$6)</f>
        <v/>
      </c>
      <c r="N43">
        <f>IF(M43="","",IF(H43="Y","OK",IF(M43&gt;=Settings!$B$8,"MATCH","HOLD")))</f>
        <v/>
      </c>
    </row>
    <row r="44">
      <c r="E44">
        <f>IF(D44="","",Settings!$B$6)</f>
        <v/>
      </c>
      <c r="F44">
        <f>IF(D44="","",D44+E44)</f>
        <v/>
      </c>
      <c r="I44">
        <f>IF(G44="","",G44-Settings!$B$6)</f>
        <v/>
      </c>
      <c r="K44">
        <f>IF(J44="","",IF(J44&lt;Settings!$B$5,Settings!$B$3,Settings!$B$4))</f>
        <v/>
      </c>
      <c r="L44">
        <f>IF(G44="","",G44*Settings!$B$2)</f>
        <v/>
      </c>
      <c r="M44">
        <f>IF(OR(G44="",J44=""),"",G44-L44-J44-K44-Settings!$B$6)</f>
        <v/>
      </c>
      <c r="N44">
        <f>IF(M44="","",IF(H44="Y","OK",IF(M44&gt;=Settings!$B$8,"MATCH","HOLD")))</f>
        <v/>
      </c>
    </row>
    <row r="45">
      <c r="E45">
        <f>IF(D45="","",Settings!$B$6)</f>
        <v/>
      </c>
      <c r="F45">
        <f>IF(D45="","",D45+E45)</f>
        <v/>
      </c>
      <c r="I45">
        <f>IF(G45="","",G45-Settings!$B$6)</f>
        <v/>
      </c>
      <c r="K45">
        <f>IF(J45="","",IF(J45&lt;Settings!$B$5,Settings!$B$3,Settings!$B$4))</f>
        <v/>
      </c>
      <c r="L45">
        <f>IF(G45="","",G45*Settings!$B$2)</f>
        <v/>
      </c>
      <c r="M45">
        <f>IF(OR(G45="",J45=""),"",G45-L45-J45-K45-Settings!$B$6)</f>
        <v/>
      </c>
      <c r="N45">
        <f>IF(M45="","",IF(H45="Y","OK",IF(M45&gt;=Settings!$B$8,"MATCH","HOLD")))</f>
        <v/>
      </c>
    </row>
    <row r="46">
      <c r="E46">
        <f>IF(D46="","",Settings!$B$6)</f>
        <v/>
      </c>
      <c r="F46">
        <f>IF(D46="","",D46+E46)</f>
        <v/>
      </c>
      <c r="I46">
        <f>IF(G46="","",G46-Settings!$B$6)</f>
        <v/>
      </c>
      <c r="K46">
        <f>IF(J46="","",IF(J46&lt;Settings!$B$5,Settings!$B$3,Settings!$B$4))</f>
        <v/>
      </c>
      <c r="L46">
        <f>IF(G46="","",G46*Settings!$B$2)</f>
        <v/>
      </c>
      <c r="M46">
        <f>IF(OR(G46="",J46=""),"",G46-L46-J46-K46-Settings!$B$6)</f>
        <v/>
      </c>
      <c r="N46">
        <f>IF(M46="","",IF(H46="Y","OK",IF(M46&gt;=Settings!$B$8,"MATCH","HOLD")))</f>
        <v/>
      </c>
    </row>
    <row r="47">
      <c r="E47">
        <f>IF(D47="","",Settings!$B$6)</f>
        <v/>
      </c>
      <c r="F47">
        <f>IF(D47="","",D47+E47)</f>
        <v/>
      </c>
      <c r="I47">
        <f>IF(G47="","",G47-Settings!$B$6)</f>
        <v/>
      </c>
      <c r="K47">
        <f>IF(J47="","",IF(J47&lt;Settings!$B$5,Settings!$B$3,Settings!$B$4))</f>
        <v/>
      </c>
      <c r="L47">
        <f>IF(G47="","",G47*Settings!$B$2)</f>
        <v/>
      </c>
      <c r="M47">
        <f>IF(OR(G47="",J47=""),"",G47-L47-J47-K47-Settings!$B$6)</f>
        <v/>
      </c>
      <c r="N47">
        <f>IF(M47="","",IF(H47="Y","OK",IF(M47&gt;=Settings!$B$8,"MATCH","HOLD")))</f>
        <v/>
      </c>
    </row>
    <row r="48">
      <c r="E48">
        <f>IF(D48="","",Settings!$B$6)</f>
        <v/>
      </c>
      <c r="F48">
        <f>IF(D48="","",D48+E48)</f>
        <v/>
      </c>
      <c r="I48">
        <f>IF(G48="","",G48-Settings!$B$6)</f>
        <v/>
      </c>
      <c r="K48">
        <f>IF(J48="","",IF(J48&lt;Settings!$B$5,Settings!$B$3,Settings!$B$4))</f>
        <v/>
      </c>
      <c r="L48">
        <f>IF(G48="","",G48*Settings!$B$2)</f>
        <v/>
      </c>
      <c r="M48">
        <f>IF(OR(G48="",J48=""),"",G48-L48-J48-K48-Settings!$B$6)</f>
        <v/>
      </c>
      <c r="N48">
        <f>IF(M48="","",IF(H48="Y","OK",IF(M48&gt;=Settings!$B$8,"MATCH","HOLD")))</f>
        <v/>
      </c>
    </row>
    <row r="49">
      <c r="E49">
        <f>IF(D49="","",Settings!$B$6)</f>
        <v/>
      </c>
      <c r="F49">
        <f>IF(D49="","",D49+E49)</f>
        <v/>
      </c>
      <c r="I49">
        <f>IF(G49="","",G49-Settings!$B$6)</f>
        <v/>
      </c>
      <c r="K49">
        <f>IF(J49="","",IF(J49&lt;Settings!$B$5,Settings!$B$3,Settings!$B$4))</f>
        <v/>
      </c>
      <c r="L49">
        <f>IF(G49="","",G49*Settings!$B$2)</f>
        <v/>
      </c>
      <c r="M49">
        <f>IF(OR(G49="",J49=""),"",G49-L49-J49-K49-Settings!$B$6)</f>
        <v/>
      </c>
      <c r="N49">
        <f>IF(M49="","",IF(H49="Y","OK",IF(M49&gt;=Settings!$B$8,"MATCH","HOLD")))</f>
        <v/>
      </c>
    </row>
    <row r="50">
      <c r="E50">
        <f>IF(D50="","",Settings!$B$6)</f>
        <v/>
      </c>
      <c r="F50">
        <f>IF(D50="","",D50+E50)</f>
        <v/>
      </c>
      <c r="I50">
        <f>IF(G50="","",G50-Settings!$B$6)</f>
        <v/>
      </c>
      <c r="K50">
        <f>IF(J50="","",IF(J50&lt;Settings!$B$5,Settings!$B$3,Settings!$B$4))</f>
        <v/>
      </c>
      <c r="L50">
        <f>IF(G50="","",G50*Settings!$B$2)</f>
        <v/>
      </c>
      <c r="M50">
        <f>IF(OR(G50="",J50=""),"",G50-L50-J50-K50-Settings!$B$6)</f>
        <v/>
      </c>
      <c r="N50">
        <f>IF(M50="","",IF(H50="Y","OK",IF(M50&gt;=Settings!$B$8,"MATCH","HOLD")))</f>
        <v/>
      </c>
    </row>
    <row r="51">
      <c r="E51">
        <f>IF(D51="","",Settings!$B$6)</f>
        <v/>
      </c>
      <c r="F51">
        <f>IF(D51="","",D51+E51)</f>
        <v/>
      </c>
      <c r="I51">
        <f>IF(G51="","",G51-Settings!$B$6)</f>
        <v/>
      </c>
      <c r="K51">
        <f>IF(J51="","",IF(J51&lt;Settings!$B$5,Settings!$B$3,Settings!$B$4))</f>
        <v/>
      </c>
      <c r="L51">
        <f>IF(G51="","",G51*Settings!$B$2)</f>
        <v/>
      </c>
      <c r="M51">
        <f>IF(OR(G51="",J51=""),"",G51-L51-J51-K51-Settings!$B$6)</f>
        <v/>
      </c>
      <c r="N51">
        <f>IF(M51="","",IF(H51="Y","OK",IF(M51&gt;=Settings!$B$8,"MATCH","HOLD")))</f>
        <v/>
      </c>
    </row>
    <row r="52">
      <c r="E52">
        <f>IF(D52="","",Settings!$B$6)</f>
        <v/>
      </c>
      <c r="F52">
        <f>IF(D52="","",D52+E52)</f>
        <v/>
      </c>
      <c r="I52">
        <f>IF(G52="","",G52-Settings!$B$6)</f>
        <v/>
      </c>
      <c r="K52">
        <f>IF(J52="","",IF(J52&lt;Settings!$B$5,Settings!$B$3,Settings!$B$4))</f>
        <v/>
      </c>
      <c r="L52">
        <f>IF(G52="","",G52*Settings!$B$2)</f>
        <v/>
      </c>
      <c r="M52">
        <f>IF(OR(G52="",J52=""),"",G52-L52-J52-K52-Settings!$B$6)</f>
        <v/>
      </c>
      <c r="N52">
        <f>IF(M52="","",IF(H52="Y","OK",IF(M52&gt;=Settings!$B$8,"MATCH","HOLD")))</f>
        <v/>
      </c>
    </row>
    <row r="53">
      <c r="E53">
        <f>IF(D53="","",Settings!$B$6)</f>
        <v/>
      </c>
      <c r="F53">
        <f>IF(D53="","",D53+E53)</f>
        <v/>
      </c>
      <c r="I53">
        <f>IF(G53="","",G53-Settings!$B$6)</f>
        <v/>
      </c>
      <c r="K53">
        <f>IF(J53="","",IF(J53&lt;Settings!$B$5,Settings!$B$3,Settings!$B$4))</f>
        <v/>
      </c>
      <c r="L53">
        <f>IF(G53="","",G53*Settings!$B$2)</f>
        <v/>
      </c>
      <c r="M53">
        <f>IF(OR(G53="",J53=""),"",G53-L53-J53-K53-Settings!$B$6)</f>
        <v/>
      </c>
      <c r="N53">
        <f>IF(M53="","",IF(H53="Y","OK",IF(M53&gt;=Settings!$B$8,"MATCH","HOLD")))</f>
        <v/>
      </c>
    </row>
    <row r="54">
      <c r="E54">
        <f>IF(D54="","",Settings!$B$6)</f>
        <v/>
      </c>
      <c r="F54">
        <f>IF(D54="","",D54+E54)</f>
        <v/>
      </c>
      <c r="I54">
        <f>IF(G54="","",G54-Settings!$B$6)</f>
        <v/>
      </c>
      <c r="K54">
        <f>IF(J54="","",IF(J54&lt;Settings!$B$5,Settings!$B$3,Settings!$B$4))</f>
        <v/>
      </c>
      <c r="L54">
        <f>IF(G54="","",G54*Settings!$B$2)</f>
        <v/>
      </c>
      <c r="M54">
        <f>IF(OR(G54="",J54=""),"",G54-L54-J54-K54-Settings!$B$6)</f>
        <v/>
      </c>
      <c r="N54">
        <f>IF(M54="","",IF(H54="Y","OK",IF(M54&gt;=Settings!$B$8,"MATCH","HOLD")))</f>
        <v/>
      </c>
    </row>
    <row r="55">
      <c r="E55">
        <f>IF(D55="","",Settings!$B$6)</f>
        <v/>
      </c>
      <c r="F55">
        <f>IF(D55="","",D55+E55)</f>
        <v/>
      </c>
      <c r="I55">
        <f>IF(G55="","",G55-Settings!$B$6)</f>
        <v/>
      </c>
      <c r="K55">
        <f>IF(J55="","",IF(J55&lt;Settings!$B$5,Settings!$B$3,Settings!$B$4))</f>
        <v/>
      </c>
      <c r="L55">
        <f>IF(G55="","",G55*Settings!$B$2)</f>
        <v/>
      </c>
      <c r="M55">
        <f>IF(OR(G55="",J55=""),"",G55-L55-J55-K55-Settings!$B$6)</f>
        <v/>
      </c>
      <c r="N55">
        <f>IF(M55="","",IF(H55="Y","OK",IF(M55&gt;=Settings!$B$8,"MATCH","HOLD")))</f>
        <v/>
      </c>
    </row>
    <row r="56">
      <c r="E56">
        <f>IF(D56="","",Settings!$B$6)</f>
        <v/>
      </c>
      <c r="F56">
        <f>IF(D56="","",D56+E56)</f>
        <v/>
      </c>
      <c r="I56">
        <f>IF(G56="","",G56-Settings!$B$6)</f>
        <v/>
      </c>
      <c r="K56">
        <f>IF(J56="","",IF(J56&lt;Settings!$B$5,Settings!$B$3,Settings!$B$4))</f>
        <v/>
      </c>
      <c r="L56">
        <f>IF(G56="","",G56*Settings!$B$2)</f>
        <v/>
      </c>
      <c r="M56">
        <f>IF(OR(G56="",J56=""),"",G56-L56-J56-K56-Settings!$B$6)</f>
        <v/>
      </c>
      <c r="N56">
        <f>IF(M56="","",IF(H56="Y","OK",IF(M56&gt;=Settings!$B$8,"MATCH","HOLD")))</f>
        <v/>
      </c>
    </row>
    <row r="57">
      <c r="E57">
        <f>IF(D57="","",Settings!$B$6)</f>
        <v/>
      </c>
      <c r="F57">
        <f>IF(D57="","",D57+E57)</f>
        <v/>
      </c>
      <c r="I57">
        <f>IF(G57="","",G57-Settings!$B$6)</f>
        <v/>
      </c>
      <c r="K57">
        <f>IF(J57="","",IF(J57&lt;Settings!$B$5,Settings!$B$3,Settings!$B$4))</f>
        <v/>
      </c>
      <c r="L57">
        <f>IF(G57="","",G57*Settings!$B$2)</f>
        <v/>
      </c>
      <c r="M57">
        <f>IF(OR(G57="",J57=""),"",G57-L57-J57-K57-Settings!$B$6)</f>
        <v/>
      </c>
      <c r="N57">
        <f>IF(M57="","",IF(H57="Y","OK",IF(M57&gt;=Settings!$B$8,"MATCH","HOLD")))</f>
        <v/>
      </c>
    </row>
    <row r="58">
      <c r="E58">
        <f>IF(D58="","",Settings!$B$6)</f>
        <v/>
      </c>
      <c r="F58">
        <f>IF(D58="","",D58+E58)</f>
        <v/>
      </c>
      <c r="I58">
        <f>IF(G58="","",G58-Settings!$B$6)</f>
        <v/>
      </c>
      <c r="K58">
        <f>IF(J58="","",IF(J58&lt;Settings!$B$5,Settings!$B$3,Settings!$B$4))</f>
        <v/>
      </c>
      <c r="L58">
        <f>IF(G58="","",G58*Settings!$B$2)</f>
        <v/>
      </c>
      <c r="M58">
        <f>IF(OR(G58="",J58=""),"",G58-L58-J58-K58-Settings!$B$6)</f>
        <v/>
      </c>
      <c r="N58">
        <f>IF(M58="","",IF(H58="Y","OK",IF(M58&gt;=Settings!$B$8,"MATCH","HOLD")))</f>
        <v/>
      </c>
    </row>
    <row r="59">
      <c r="E59">
        <f>IF(D59="","",Settings!$B$6)</f>
        <v/>
      </c>
      <c r="F59">
        <f>IF(D59="","",D59+E59)</f>
        <v/>
      </c>
      <c r="I59">
        <f>IF(G59="","",G59-Settings!$B$6)</f>
        <v/>
      </c>
      <c r="K59">
        <f>IF(J59="","",IF(J59&lt;Settings!$B$5,Settings!$B$3,Settings!$B$4))</f>
        <v/>
      </c>
      <c r="L59">
        <f>IF(G59="","",G59*Settings!$B$2)</f>
        <v/>
      </c>
      <c r="M59">
        <f>IF(OR(G59="",J59=""),"",G59-L59-J59-K59-Settings!$B$6)</f>
        <v/>
      </c>
      <c r="N59">
        <f>IF(M59="","",IF(H59="Y","OK",IF(M59&gt;=Settings!$B$8,"MATCH","HOLD")))</f>
        <v/>
      </c>
    </row>
    <row r="60">
      <c r="E60">
        <f>IF(D60="","",Settings!$B$6)</f>
        <v/>
      </c>
      <c r="F60">
        <f>IF(D60="","",D60+E60)</f>
        <v/>
      </c>
      <c r="I60">
        <f>IF(G60="","",G60-Settings!$B$6)</f>
        <v/>
      </c>
      <c r="K60">
        <f>IF(J60="","",IF(J60&lt;Settings!$B$5,Settings!$B$3,Settings!$B$4))</f>
        <v/>
      </c>
      <c r="L60">
        <f>IF(G60="","",G60*Settings!$B$2)</f>
        <v/>
      </c>
      <c r="M60">
        <f>IF(OR(G60="",J60=""),"",G60-L60-J60-K60-Settings!$B$6)</f>
        <v/>
      </c>
      <c r="N60">
        <f>IF(M60="","",IF(H60="Y","OK",IF(M60&gt;=Settings!$B$8,"MATCH","HOLD")))</f>
        <v/>
      </c>
    </row>
    <row r="61">
      <c r="E61">
        <f>IF(D61="","",Settings!$B$6)</f>
        <v/>
      </c>
      <c r="F61">
        <f>IF(D61="","",D61+E61)</f>
        <v/>
      </c>
      <c r="I61">
        <f>IF(G61="","",G61-Settings!$B$6)</f>
        <v/>
      </c>
      <c r="K61">
        <f>IF(J61="","",IF(J61&lt;Settings!$B$5,Settings!$B$3,Settings!$B$4))</f>
        <v/>
      </c>
      <c r="L61">
        <f>IF(G61="","",G61*Settings!$B$2)</f>
        <v/>
      </c>
      <c r="M61">
        <f>IF(OR(G61="",J61=""),"",G61-L61-J61-K61-Settings!$B$6)</f>
        <v/>
      </c>
      <c r="N61">
        <f>IF(M61="","",IF(H61="Y","OK",IF(M61&gt;=Settings!$B$8,"MATCH","HOLD")))</f>
        <v/>
      </c>
    </row>
    <row r="62">
      <c r="E62">
        <f>IF(D62="","",Settings!$B$6)</f>
        <v/>
      </c>
      <c r="F62">
        <f>IF(D62="","",D62+E62)</f>
        <v/>
      </c>
      <c r="I62">
        <f>IF(G62="","",G62-Settings!$B$6)</f>
        <v/>
      </c>
      <c r="K62">
        <f>IF(J62="","",IF(J62&lt;Settings!$B$5,Settings!$B$3,Settings!$B$4))</f>
        <v/>
      </c>
      <c r="L62">
        <f>IF(G62="","",G62*Settings!$B$2)</f>
        <v/>
      </c>
      <c r="M62">
        <f>IF(OR(G62="",J62=""),"",G62-L62-J62-K62-Settings!$B$6)</f>
        <v/>
      </c>
      <c r="N62">
        <f>IF(M62="","",IF(H62="Y","OK",IF(M62&gt;=Settings!$B$8,"MATCH","HOLD")))</f>
        <v/>
      </c>
    </row>
    <row r="63">
      <c r="E63">
        <f>IF(D63="","",Settings!$B$6)</f>
        <v/>
      </c>
      <c r="F63">
        <f>IF(D63="","",D63+E63)</f>
        <v/>
      </c>
      <c r="I63">
        <f>IF(G63="","",G63-Settings!$B$6)</f>
        <v/>
      </c>
      <c r="K63">
        <f>IF(J63="","",IF(J63&lt;Settings!$B$5,Settings!$B$3,Settings!$B$4))</f>
        <v/>
      </c>
      <c r="L63">
        <f>IF(G63="","",G63*Settings!$B$2)</f>
        <v/>
      </c>
      <c r="M63">
        <f>IF(OR(G63="",J63=""),"",G63-L63-J63-K63-Settings!$B$6)</f>
        <v/>
      </c>
      <c r="N63">
        <f>IF(M63="","",IF(H63="Y","OK",IF(M63&gt;=Settings!$B$8,"MATCH","HOLD")))</f>
        <v/>
      </c>
    </row>
    <row r="64">
      <c r="E64">
        <f>IF(D64="","",Settings!$B$6)</f>
        <v/>
      </c>
      <c r="F64">
        <f>IF(D64="","",D64+E64)</f>
        <v/>
      </c>
      <c r="I64">
        <f>IF(G64="","",G64-Settings!$B$6)</f>
        <v/>
      </c>
      <c r="K64">
        <f>IF(J64="","",IF(J64&lt;Settings!$B$5,Settings!$B$3,Settings!$B$4))</f>
        <v/>
      </c>
      <c r="L64">
        <f>IF(G64="","",G64*Settings!$B$2)</f>
        <v/>
      </c>
      <c r="M64">
        <f>IF(OR(G64="",J64=""),"",G64-L64-J64-K64-Settings!$B$6)</f>
        <v/>
      </c>
      <c r="N64">
        <f>IF(M64="","",IF(H64="Y","OK",IF(M64&gt;=Settings!$B$8,"MATCH","HOLD")))</f>
        <v/>
      </c>
    </row>
    <row r="65">
      <c r="E65">
        <f>IF(D65="","",Settings!$B$6)</f>
        <v/>
      </c>
      <c r="F65">
        <f>IF(D65="","",D65+E65)</f>
        <v/>
      </c>
      <c r="I65">
        <f>IF(G65="","",G65-Settings!$B$6)</f>
        <v/>
      </c>
      <c r="K65">
        <f>IF(J65="","",IF(J65&lt;Settings!$B$5,Settings!$B$3,Settings!$B$4))</f>
        <v/>
      </c>
      <c r="L65">
        <f>IF(G65="","",G65*Settings!$B$2)</f>
        <v/>
      </c>
      <c r="M65">
        <f>IF(OR(G65="",J65=""),"",G65-L65-J65-K65-Settings!$B$6)</f>
        <v/>
      </c>
      <c r="N65">
        <f>IF(M65="","",IF(H65="Y","OK",IF(M65&gt;=Settings!$B$8,"MATCH","HOLD")))</f>
        <v/>
      </c>
    </row>
    <row r="66">
      <c r="E66">
        <f>IF(D66="","",Settings!$B$6)</f>
        <v/>
      </c>
      <c r="F66">
        <f>IF(D66="","",D66+E66)</f>
        <v/>
      </c>
      <c r="I66">
        <f>IF(G66="","",G66-Settings!$B$6)</f>
        <v/>
      </c>
      <c r="K66">
        <f>IF(J66="","",IF(J66&lt;Settings!$B$5,Settings!$B$3,Settings!$B$4))</f>
        <v/>
      </c>
      <c r="L66">
        <f>IF(G66="","",G66*Settings!$B$2)</f>
        <v/>
      </c>
      <c r="M66">
        <f>IF(OR(G66="",J66=""),"",G66-L66-J66-K66-Settings!$B$6)</f>
        <v/>
      </c>
      <c r="N66">
        <f>IF(M66="","",IF(H66="Y","OK",IF(M66&gt;=Settings!$B$8,"MATCH","HOLD")))</f>
        <v/>
      </c>
    </row>
    <row r="67">
      <c r="E67">
        <f>IF(D67="","",Settings!$B$6)</f>
        <v/>
      </c>
      <c r="F67">
        <f>IF(D67="","",D67+E67)</f>
        <v/>
      </c>
      <c r="I67">
        <f>IF(G67="","",G67-Settings!$B$6)</f>
        <v/>
      </c>
      <c r="K67">
        <f>IF(J67="","",IF(J67&lt;Settings!$B$5,Settings!$B$3,Settings!$B$4))</f>
        <v/>
      </c>
      <c r="L67">
        <f>IF(G67="","",G67*Settings!$B$2)</f>
        <v/>
      </c>
      <c r="M67">
        <f>IF(OR(G67="",J67=""),"",G67-L67-J67-K67-Settings!$B$6)</f>
        <v/>
      </c>
      <c r="N67">
        <f>IF(M67="","",IF(H67="Y","OK",IF(M67&gt;=Settings!$B$8,"MATCH","HOLD")))</f>
        <v/>
      </c>
    </row>
    <row r="68">
      <c r="E68">
        <f>IF(D68="","",Settings!$B$6)</f>
        <v/>
      </c>
      <c r="F68">
        <f>IF(D68="","",D68+E68)</f>
        <v/>
      </c>
      <c r="I68">
        <f>IF(G68="","",G68-Settings!$B$6)</f>
        <v/>
      </c>
      <c r="K68">
        <f>IF(J68="","",IF(J68&lt;Settings!$B$5,Settings!$B$3,Settings!$B$4))</f>
        <v/>
      </c>
      <c r="L68">
        <f>IF(G68="","",G68*Settings!$B$2)</f>
        <v/>
      </c>
      <c r="M68">
        <f>IF(OR(G68="",J68=""),"",G68-L68-J68-K68-Settings!$B$6)</f>
        <v/>
      </c>
      <c r="N68">
        <f>IF(M68="","",IF(H68="Y","OK",IF(M68&gt;=Settings!$B$8,"MATCH","HOLD")))</f>
        <v/>
      </c>
    </row>
    <row r="69">
      <c r="E69">
        <f>IF(D69="","",Settings!$B$6)</f>
        <v/>
      </c>
      <c r="F69">
        <f>IF(D69="","",D69+E69)</f>
        <v/>
      </c>
      <c r="I69">
        <f>IF(G69="","",G69-Settings!$B$6)</f>
        <v/>
      </c>
      <c r="K69">
        <f>IF(J69="","",IF(J69&lt;Settings!$B$5,Settings!$B$3,Settings!$B$4))</f>
        <v/>
      </c>
      <c r="L69">
        <f>IF(G69="","",G69*Settings!$B$2)</f>
        <v/>
      </c>
      <c r="M69">
        <f>IF(OR(G69="",J69=""),"",G69-L69-J69-K69-Settings!$B$6)</f>
        <v/>
      </c>
      <c r="N69">
        <f>IF(M69="","",IF(H69="Y","OK",IF(M69&gt;=Settings!$B$8,"MATCH","HOLD")))</f>
        <v/>
      </c>
    </row>
    <row r="70">
      <c r="E70">
        <f>IF(D70="","",Settings!$B$6)</f>
        <v/>
      </c>
      <c r="F70">
        <f>IF(D70="","",D70+E70)</f>
        <v/>
      </c>
      <c r="I70">
        <f>IF(G70="","",G70-Settings!$B$6)</f>
        <v/>
      </c>
      <c r="K70">
        <f>IF(J70="","",IF(J70&lt;Settings!$B$5,Settings!$B$3,Settings!$B$4))</f>
        <v/>
      </c>
      <c r="L70">
        <f>IF(G70="","",G70*Settings!$B$2)</f>
        <v/>
      </c>
      <c r="M70">
        <f>IF(OR(G70="",J70=""),"",G70-L70-J70-K70-Settings!$B$6)</f>
        <v/>
      </c>
      <c r="N70">
        <f>IF(M70="","",IF(H70="Y","OK",IF(M70&gt;=Settings!$B$8,"MATCH","HOLD")))</f>
        <v/>
      </c>
    </row>
    <row r="71">
      <c r="E71">
        <f>IF(D71="","",Settings!$B$6)</f>
        <v/>
      </c>
      <c r="F71">
        <f>IF(D71="","",D71+E71)</f>
        <v/>
      </c>
      <c r="I71">
        <f>IF(G71="","",G71-Settings!$B$6)</f>
        <v/>
      </c>
      <c r="K71">
        <f>IF(J71="","",IF(J71&lt;Settings!$B$5,Settings!$B$3,Settings!$B$4))</f>
        <v/>
      </c>
      <c r="L71">
        <f>IF(G71="","",G71*Settings!$B$2)</f>
        <v/>
      </c>
      <c r="M71">
        <f>IF(OR(G71="",J71=""),"",G71-L71-J71-K71-Settings!$B$6)</f>
        <v/>
      </c>
      <c r="N71">
        <f>IF(M71="","",IF(H71="Y","OK",IF(M71&gt;=Settings!$B$8,"MATCH","HOLD")))</f>
        <v/>
      </c>
    </row>
    <row r="72">
      <c r="E72">
        <f>IF(D72="","",Settings!$B$6)</f>
        <v/>
      </c>
      <c r="F72">
        <f>IF(D72="","",D72+E72)</f>
        <v/>
      </c>
      <c r="I72">
        <f>IF(G72="","",G72-Settings!$B$6)</f>
        <v/>
      </c>
      <c r="K72">
        <f>IF(J72="","",IF(J72&lt;Settings!$B$5,Settings!$B$3,Settings!$B$4))</f>
        <v/>
      </c>
      <c r="L72">
        <f>IF(G72="","",G72*Settings!$B$2)</f>
        <v/>
      </c>
      <c r="M72">
        <f>IF(OR(G72="",J72=""),"",G72-L72-J72-K72-Settings!$B$6)</f>
        <v/>
      </c>
      <c r="N72">
        <f>IF(M72="","",IF(H72="Y","OK",IF(M72&gt;=Settings!$B$8,"MATCH","HOLD")))</f>
        <v/>
      </c>
    </row>
    <row r="73">
      <c r="E73">
        <f>IF(D73="","",Settings!$B$6)</f>
        <v/>
      </c>
      <c r="F73">
        <f>IF(D73="","",D73+E73)</f>
        <v/>
      </c>
      <c r="I73">
        <f>IF(G73="","",G73-Settings!$B$6)</f>
        <v/>
      </c>
      <c r="K73">
        <f>IF(J73="","",IF(J73&lt;Settings!$B$5,Settings!$B$3,Settings!$B$4))</f>
        <v/>
      </c>
      <c r="L73">
        <f>IF(G73="","",G73*Settings!$B$2)</f>
        <v/>
      </c>
      <c r="M73">
        <f>IF(OR(G73="",J73=""),"",G73-L73-J73-K73-Settings!$B$6)</f>
        <v/>
      </c>
      <c r="N73">
        <f>IF(M73="","",IF(H73="Y","OK",IF(M73&gt;=Settings!$B$8,"MATCH","HOLD")))</f>
        <v/>
      </c>
    </row>
    <row r="74">
      <c r="E74">
        <f>IF(D74="","",Settings!$B$6)</f>
        <v/>
      </c>
      <c r="F74">
        <f>IF(D74="","",D74+E74)</f>
        <v/>
      </c>
      <c r="I74">
        <f>IF(G74="","",G74-Settings!$B$6)</f>
        <v/>
      </c>
      <c r="K74">
        <f>IF(J74="","",IF(J74&lt;Settings!$B$5,Settings!$B$3,Settings!$B$4))</f>
        <v/>
      </c>
      <c r="L74">
        <f>IF(G74="","",G74*Settings!$B$2)</f>
        <v/>
      </c>
      <c r="M74">
        <f>IF(OR(G74="",J74=""),"",G74-L74-J74-K74-Settings!$B$6)</f>
        <v/>
      </c>
      <c r="N74">
        <f>IF(M74="","",IF(H74="Y","OK",IF(M74&gt;=Settings!$B$8,"MATCH","HOLD")))</f>
        <v/>
      </c>
    </row>
    <row r="75">
      <c r="E75">
        <f>IF(D75="","",Settings!$B$6)</f>
        <v/>
      </c>
      <c r="F75">
        <f>IF(D75="","",D75+E75)</f>
        <v/>
      </c>
      <c r="I75">
        <f>IF(G75="","",G75-Settings!$B$6)</f>
        <v/>
      </c>
      <c r="K75">
        <f>IF(J75="","",IF(J75&lt;Settings!$B$5,Settings!$B$3,Settings!$B$4))</f>
        <v/>
      </c>
      <c r="L75">
        <f>IF(G75="","",G75*Settings!$B$2)</f>
        <v/>
      </c>
      <c r="M75">
        <f>IF(OR(G75="",J75=""),"",G75-L75-J75-K75-Settings!$B$6)</f>
        <v/>
      </c>
      <c r="N75">
        <f>IF(M75="","",IF(H75="Y","OK",IF(M75&gt;=Settings!$B$8,"MATCH","HOLD")))</f>
        <v/>
      </c>
    </row>
    <row r="76">
      <c r="E76">
        <f>IF(D76="","",Settings!$B$6)</f>
        <v/>
      </c>
      <c r="F76">
        <f>IF(D76="","",D76+E76)</f>
        <v/>
      </c>
      <c r="I76">
        <f>IF(G76="","",G76-Settings!$B$6)</f>
        <v/>
      </c>
      <c r="K76">
        <f>IF(J76="","",IF(J76&lt;Settings!$B$5,Settings!$B$3,Settings!$B$4))</f>
        <v/>
      </c>
      <c r="L76">
        <f>IF(G76="","",G76*Settings!$B$2)</f>
        <v/>
      </c>
      <c r="M76">
        <f>IF(OR(G76="",J76=""),"",G76-L76-J76-K76-Settings!$B$6)</f>
        <v/>
      </c>
      <c r="N76">
        <f>IF(M76="","",IF(H76="Y","OK",IF(M76&gt;=Settings!$B$8,"MATCH","HOLD")))</f>
        <v/>
      </c>
    </row>
    <row r="77">
      <c r="E77">
        <f>IF(D77="","",Settings!$B$6)</f>
        <v/>
      </c>
      <c r="F77">
        <f>IF(D77="","",D77+E77)</f>
        <v/>
      </c>
      <c r="I77">
        <f>IF(G77="","",G77-Settings!$B$6)</f>
        <v/>
      </c>
      <c r="K77">
        <f>IF(J77="","",IF(J77&lt;Settings!$B$5,Settings!$B$3,Settings!$B$4))</f>
        <v/>
      </c>
      <c r="L77">
        <f>IF(G77="","",G77*Settings!$B$2)</f>
        <v/>
      </c>
      <c r="M77">
        <f>IF(OR(G77="",J77=""),"",G77-L77-J77-K77-Settings!$B$6)</f>
        <v/>
      </c>
      <c r="N77">
        <f>IF(M77="","",IF(H77="Y","OK",IF(M77&gt;=Settings!$B$8,"MATCH","HOLD")))</f>
        <v/>
      </c>
    </row>
    <row r="78">
      <c r="E78">
        <f>IF(D78="","",Settings!$B$6)</f>
        <v/>
      </c>
      <c r="F78">
        <f>IF(D78="","",D78+E78)</f>
        <v/>
      </c>
      <c r="I78">
        <f>IF(G78="","",G78-Settings!$B$6)</f>
        <v/>
      </c>
      <c r="K78">
        <f>IF(J78="","",IF(J78&lt;Settings!$B$5,Settings!$B$3,Settings!$B$4))</f>
        <v/>
      </c>
      <c r="L78">
        <f>IF(G78="","",G78*Settings!$B$2)</f>
        <v/>
      </c>
      <c r="M78">
        <f>IF(OR(G78="",J78=""),"",G78-L78-J78-K78-Settings!$B$6)</f>
        <v/>
      </c>
      <c r="N78">
        <f>IF(M78="","",IF(H78="Y","OK",IF(M78&gt;=Settings!$B$8,"MATCH","HOLD")))</f>
        <v/>
      </c>
    </row>
    <row r="79">
      <c r="E79">
        <f>IF(D79="","",Settings!$B$6)</f>
        <v/>
      </c>
      <c r="F79">
        <f>IF(D79="","",D79+E79)</f>
        <v/>
      </c>
      <c r="I79">
        <f>IF(G79="","",G79-Settings!$B$6)</f>
        <v/>
      </c>
      <c r="K79">
        <f>IF(J79="","",IF(J79&lt;Settings!$B$5,Settings!$B$3,Settings!$B$4))</f>
        <v/>
      </c>
      <c r="L79">
        <f>IF(G79="","",G79*Settings!$B$2)</f>
        <v/>
      </c>
      <c r="M79">
        <f>IF(OR(G79="",J79=""),"",G79-L79-J79-K79-Settings!$B$6)</f>
        <v/>
      </c>
      <c r="N79">
        <f>IF(M79="","",IF(H79="Y","OK",IF(M79&gt;=Settings!$B$8,"MATCH","HOLD")))</f>
        <v/>
      </c>
    </row>
    <row r="80">
      <c r="E80">
        <f>IF(D80="","",Settings!$B$6)</f>
        <v/>
      </c>
      <c r="F80">
        <f>IF(D80="","",D80+E80)</f>
        <v/>
      </c>
      <c r="I80">
        <f>IF(G80="","",G80-Settings!$B$6)</f>
        <v/>
      </c>
      <c r="K80">
        <f>IF(J80="","",IF(J80&lt;Settings!$B$5,Settings!$B$3,Settings!$B$4))</f>
        <v/>
      </c>
      <c r="L80">
        <f>IF(G80="","",G80*Settings!$B$2)</f>
        <v/>
      </c>
      <c r="M80">
        <f>IF(OR(G80="",J80=""),"",G80-L80-J80-K80-Settings!$B$6)</f>
        <v/>
      </c>
      <c r="N80">
        <f>IF(M80="","",IF(H80="Y","OK",IF(M80&gt;=Settings!$B$8,"MATCH","HOLD")))</f>
        <v/>
      </c>
    </row>
    <row r="81">
      <c r="E81">
        <f>IF(D81="","",Settings!$B$6)</f>
        <v/>
      </c>
      <c r="F81">
        <f>IF(D81="","",D81+E81)</f>
        <v/>
      </c>
      <c r="I81">
        <f>IF(G81="","",G81-Settings!$B$6)</f>
        <v/>
      </c>
      <c r="K81">
        <f>IF(J81="","",IF(J81&lt;Settings!$B$5,Settings!$B$3,Settings!$B$4))</f>
        <v/>
      </c>
      <c r="L81">
        <f>IF(G81="","",G81*Settings!$B$2)</f>
        <v/>
      </c>
      <c r="M81">
        <f>IF(OR(G81="",J81=""),"",G81-L81-J81-K81-Settings!$B$6)</f>
        <v/>
      </c>
      <c r="N81">
        <f>IF(M81="","",IF(H81="Y","OK",IF(M81&gt;=Settings!$B$8,"MATCH","HOLD")))</f>
        <v/>
      </c>
    </row>
    <row r="82">
      <c r="E82">
        <f>IF(D82="","",Settings!$B$6)</f>
        <v/>
      </c>
      <c r="F82">
        <f>IF(D82="","",D82+E82)</f>
        <v/>
      </c>
      <c r="I82">
        <f>IF(G82="","",G82-Settings!$B$6)</f>
        <v/>
      </c>
      <c r="K82">
        <f>IF(J82="","",IF(J82&lt;Settings!$B$5,Settings!$B$3,Settings!$B$4))</f>
        <v/>
      </c>
      <c r="L82">
        <f>IF(G82="","",G82*Settings!$B$2)</f>
        <v/>
      </c>
      <c r="M82">
        <f>IF(OR(G82="",J82=""),"",G82-L82-J82-K82-Settings!$B$6)</f>
        <v/>
      </c>
      <c r="N82">
        <f>IF(M82="","",IF(H82="Y","OK",IF(M82&gt;=Settings!$B$8,"MATCH","HOLD")))</f>
        <v/>
      </c>
    </row>
    <row r="83">
      <c r="E83">
        <f>IF(D83="","",Settings!$B$6)</f>
        <v/>
      </c>
      <c r="F83">
        <f>IF(D83="","",D83+E83)</f>
        <v/>
      </c>
      <c r="I83">
        <f>IF(G83="","",G83-Settings!$B$6)</f>
        <v/>
      </c>
      <c r="K83">
        <f>IF(J83="","",IF(J83&lt;Settings!$B$5,Settings!$B$3,Settings!$B$4))</f>
        <v/>
      </c>
      <c r="L83">
        <f>IF(G83="","",G83*Settings!$B$2)</f>
        <v/>
      </c>
      <c r="M83">
        <f>IF(OR(G83="",J83=""),"",G83-L83-J83-K83-Settings!$B$6)</f>
        <v/>
      </c>
      <c r="N83">
        <f>IF(M83="","",IF(H83="Y","OK",IF(M83&gt;=Settings!$B$8,"MATCH","HOLD")))</f>
        <v/>
      </c>
    </row>
    <row r="84">
      <c r="E84">
        <f>IF(D84="","",Settings!$B$6)</f>
        <v/>
      </c>
      <c r="F84">
        <f>IF(D84="","",D84+E84)</f>
        <v/>
      </c>
      <c r="I84">
        <f>IF(G84="","",G84-Settings!$B$6)</f>
        <v/>
      </c>
      <c r="K84">
        <f>IF(J84="","",IF(J84&lt;Settings!$B$5,Settings!$B$3,Settings!$B$4))</f>
        <v/>
      </c>
      <c r="L84">
        <f>IF(G84="","",G84*Settings!$B$2)</f>
        <v/>
      </c>
      <c r="M84">
        <f>IF(OR(G84="",J84=""),"",G84-L84-J84-K84-Settings!$B$6)</f>
        <v/>
      </c>
      <c r="N84">
        <f>IF(M84="","",IF(H84="Y","OK",IF(M84&gt;=Settings!$B$8,"MATCH","HOLD")))</f>
        <v/>
      </c>
    </row>
    <row r="85">
      <c r="E85">
        <f>IF(D85="","",Settings!$B$6)</f>
        <v/>
      </c>
      <c r="F85">
        <f>IF(D85="","",D85+E85)</f>
        <v/>
      </c>
      <c r="I85">
        <f>IF(G85="","",G85-Settings!$B$6)</f>
        <v/>
      </c>
      <c r="K85">
        <f>IF(J85="","",IF(J85&lt;Settings!$B$5,Settings!$B$3,Settings!$B$4))</f>
        <v/>
      </c>
      <c r="L85">
        <f>IF(G85="","",G85*Settings!$B$2)</f>
        <v/>
      </c>
      <c r="M85">
        <f>IF(OR(G85="",J85=""),"",G85-L85-J85-K85-Settings!$B$6)</f>
        <v/>
      </c>
      <c r="N85">
        <f>IF(M85="","",IF(H85="Y","OK",IF(M85&gt;=Settings!$B$8,"MATCH","HOLD")))</f>
        <v/>
      </c>
    </row>
    <row r="86">
      <c r="E86">
        <f>IF(D86="","",Settings!$B$6)</f>
        <v/>
      </c>
      <c r="F86">
        <f>IF(D86="","",D86+E86)</f>
        <v/>
      </c>
      <c r="I86">
        <f>IF(G86="","",G86-Settings!$B$6)</f>
        <v/>
      </c>
      <c r="K86">
        <f>IF(J86="","",IF(J86&lt;Settings!$B$5,Settings!$B$3,Settings!$B$4))</f>
        <v/>
      </c>
      <c r="L86">
        <f>IF(G86="","",G86*Settings!$B$2)</f>
        <v/>
      </c>
      <c r="M86">
        <f>IF(OR(G86="",J86=""),"",G86-L86-J86-K86-Settings!$B$6)</f>
        <v/>
      </c>
      <c r="N86">
        <f>IF(M86="","",IF(H86="Y","OK",IF(M86&gt;=Settings!$B$8,"MATCH","HOLD")))</f>
        <v/>
      </c>
    </row>
    <row r="87">
      <c r="E87">
        <f>IF(D87="","",Settings!$B$6)</f>
        <v/>
      </c>
      <c r="F87">
        <f>IF(D87="","",D87+E87)</f>
        <v/>
      </c>
      <c r="I87">
        <f>IF(G87="","",G87-Settings!$B$6)</f>
        <v/>
      </c>
      <c r="K87">
        <f>IF(J87="","",IF(J87&lt;Settings!$B$5,Settings!$B$3,Settings!$B$4))</f>
        <v/>
      </c>
      <c r="L87">
        <f>IF(G87="","",G87*Settings!$B$2)</f>
        <v/>
      </c>
      <c r="M87">
        <f>IF(OR(G87="",J87=""),"",G87-L87-J87-K87-Settings!$B$6)</f>
        <v/>
      </c>
      <c r="N87">
        <f>IF(M87="","",IF(H87="Y","OK",IF(M87&gt;=Settings!$B$8,"MATCH","HOLD")))</f>
        <v/>
      </c>
    </row>
    <row r="88">
      <c r="E88">
        <f>IF(D88="","",Settings!$B$6)</f>
        <v/>
      </c>
      <c r="F88">
        <f>IF(D88="","",D88+E88)</f>
        <v/>
      </c>
      <c r="I88">
        <f>IF(G88="","",G88-Settings!$B$6)</f>
        <v/>
      </c>
      <c r="K88">
        <f>IF(J88="","",IF(J88&lt;Settings!$B$5,Settings!$B$3,Settings!$B$4))</f>
        <v/>
      </c>
      <c r="L88">
        <f>IF(G88="","",G88*Settings!$B$2)</f>
        <v/>
      </c>
      <c r="M88">
        <f>IF(OR(G88="",J88=""),"",G88-L88-J88-K88-Settings!$B$6)</f>
        <v/>
      </c>
      <c r="N88">
        <f>IF(M88="","",IF(H88="Y","OK",IF(M88&gt;=Settings!$B$8,"MATCH","HOLD")))</f>
        <v/>
      </c>
    </row>
    <row r="89">
      <c r="E89">
        <f>IF(D89="","",Settings!$B$6)</f>
        <v/>
      </c>
      <c r="F89">
        <f>IF(D89="","",D89+E89)</f>
        <v/>
      </c>
      <c r="I89">
        <f>IF(G89="","",G89-Settings!$B$6)</f>
        <v/>
      </c>
      <c r="K89">
        <f>IF(J89="","",IF(J89&lt;Settings!$B$5,Settings!$B$3,Settings!$B$4))</f>
        <v/>
      </c>
      <c r="L89">
        <f>IF(G89="","",G89*Settings!$B$2)</f>
        <v/>
      </c>
      <c r="M89">
        <f>IF(OR(G89="",J89=""),"",G89-L89-J89-K89-Settings!$B$6)</f>
        <v/>
      </c>
      <c r="N89">
        <f>IF(M89="","",IF(H89="Y","OK",IF(M89&gt;=Settings!$B$8,"MATCH","HOLD")))</f>
        <v/>
      </c>
    </row>
    <row r="90">
      <c r="E90">
        <f>IF(D90="","",Settings!$B$6)</f>
        <v/>
      </c>
      <c r="F90">
        <f>IF(D90="","",D90+E90)</f>
        <v/>
      </c>
      <c r="I90">
        <f>IF(G90="","",G90-Settings!$B$6)</f>
        <v/>
      </c>
      <c r="K90">
        <f>IF(J90="","",IF(J90&lt;Settings!$B$5,Settings!$B$3,Settings!$B$4))</f>
        <v/>
      </c>
      <c r="L90">
        <f>IF(G90="","",G90*Settings!$B$2)</f>
        <v/>
      </c>
      <c r="M90">
        <f>IF(OR(G90="",J90=""),"",G90-L90-J90-K90-Settings!$B$6)</f>
        <v/>
      </c>
      <c r="N90">
        <f>IF(M90="","",IF(H90="Y","OK",IF(M90&gt;=Settings!$B$8,"MATCH","HOLD")))</f>
        <v/>
      </c>
    </row>
    <row r="91">
      <c r="E91">
        <f>IF(D91="","",Settings!$B$6)</f>
        <v/>
      </c>
      <c r="F91">
        <f>IF(D91="","",D91+E91)</f>
        <v/>
      </c>
      <c r="I91">
        <f>IF(G91="","",G91-Settings!$B$6)</f>
        <v/>
      </c>
      <c r="K91">
        <f>IF(J91="","",IF(J91&lt;Settings!$B$5,Settings!$B$3,Settings!$B$4))</f>
        <v/>
      </c>
      <c r="L91">
        <f>IF(G91="","",G91*Settings!$B$2)</f>
        <v/>
      </c>
      <c r="M91">
        <f>IF(OR(G91="",J91=""),"",G91-L91-J91-K91-Settings!$B$6)</f>
        <v/>
      </c>
      <c r="N91">
        <f>IF(M91="","",IF(H91="Y","OK",IF(M91&gt;=Settings!$B$8,"MATCH","HOLD")))</f>
        <v/>
      </c>
    </row>
    <row r="92">
      <c r="E92">
        <f>IF(D92="","",Settings!$B$6)</f>
        <v/>
      </c>
      <c r="F92">
        <f>IF(D92="","",D92+E92)</f>
        <v/>
      </c>
      <c r="I92">
        <f>IF(G92="","",G92-Settings!$B$6)</f>
        <v/>
      </c>
      <c r="K92">
        <f>IF(J92="","",IF(J92&lt;Settings!$B$5,Settings!$B$3,Settings!$B$4))</f>
        <v/>
      </c>
      <c r="L92">
        <f>IF(G92="","",G92*Settings!$B$2)</f>
        <v/>
      </c>
      <c r="M92">
        <f>IF(OR(G92="",J92=""),"",G92-L92-J92-K92-Settings!$B$6)</f>
        <v/>
      </c>
      <c r="N92">
        <f>IF(M92="","",IF(H92="Y","OK",IF(M92&gt;=Settings!$B$8,"MATCH","HOLD")))</f>
        <v/>
      </c>
    </row>
    <row r="93">
      <c r="E93">
        <f>IF(D93="","",Settings!$B$6)</f>
        <v/>
      </c>
      <c r="F93">
        <f>IF(D93="","",D93+E93)</f>
        <v/>
      </c>
      <c r="I93">
        <f>IF(G93="","",G93-Settings!$B$6)</f>
        <v/>
      </c>
      <c r="K93">
        <f>IF(J93="","",IF(J93&lt;Settings!$B$5,Settings!$B$3,Settings!$B$4))</f>
        <v/>
      </c>
      <c r="L93">
        <f>IF(G93="","",G93*Settings!$B$2)</f>
        <v/>
      </c>
      <c r="M93">
        <f>IF(OR(G93="",J93=""),"",G93-L93-J93-K93-Settings!$B$6)</f>
        <v/>
      </c>
      <c r="N93">
        <f>IF(M93="","",IF(H93="Y","OK",IF(M93&gt;=Settings!$B$8,"MATCH","HOLD")))</f>
        <v/>
      </c>
    </row>
    <row r="94">
      <c r="E94">
        <f>IF(D94="","",Settings!$B$6)</f>
        <v/>
      </c>
      <c r="F94">
        <f>IF(D94="","",D94+E94)</f>
        <v/>
      </c>
      <c r="I94">
        <f>IF(G94="","",G94-Settings!$B$6)</f>
        <v/>
      </c>
      <c r="K94">
        <f>IF(J94="","",IF(J94&lt;Settings!$B$5,Settings!$B$3,Settings!$B$4))</f>
        <v/>
      </c>
      <c r="L94">
        <f>IF(G94="","",G94*Settings!$B$2)</f>
        <v/>
      </c>
      <c r="M94">
        <f>IF(OR(G94="",J94=""),"",G94-L94-J94-K94-Settings!$B$6)</f>
        <v/>
      </c>
      <c r="N94">
        <f>IF(M94="","",IF(H94="Y","OK",IF(M94&gt;=Settings!$B$8,"MATCH","HOLD")))</f>
        <v/>
      </c>
    </row>
    <row r="95">
      <c r="E95">
        <f>IF(D95="","",Settings!$B$6)</f>
        <v/>
      </c>
      <c r="F95">
        <f>IF(D95="","",D95+E95)</f>
        <v/>
      </c>
      <c r="I95">
        <f>IF(G95="","",G95-Settings!$B$6)</f>
        <v/>
      </c>
      <c r="K95">
        <f>IF(J95="","",IF(J95&lt;Settings!$B$5,Settings!$B$3,Settings!$B$4))</f>
        <v/>
      </c>
      <c r="L95">
        <f>IF(G95="","",G95*Settings!$B$2)</f>
        <v/>
      </c>
      <c r="M95">
        <f>IF(OR(G95="",J95=""),"",G95-L95-J95-K95-Settings!$B$6)</f>
        <v/>
      </c>
      <c r="N95">
        <f>IF(M95="","",IF(H95="Y","OK",IF(M95&gt;=Settings!$B$8,"MATCH","HOLD")))</f>
        <v/>
      </c>
    </row>
    <row r="96">
      <c r="E96">
        <f>IF(D96="","",Settings!$B$6)</f>
        <v/>
      </c>
      <c r="F96">
        <f>IF(D96="","",D96+E96)</f>
        <v/>
      </c>
      <c r="I96">
        <f>IF(G96="","",G96-Settings!$B$6)</f>
        <v/>
      </c>
      <c r="K96">
        <f>IF(J96="","",IF(J96&lt;Settings!$B$5,Settings!$B$3,Settings!$B$4))</f>
        <v/>
      </c>
      <c r="L96">
        <f>IF(G96="","",G96*Settings!$B$2)</f>
        <v/>
      </c>
      <c r="M96">
        <f>IF(OR(G96="",J96=""),"",G96-L96-J96-K96-Settings!$B$6)</f>
        <v/>
      </c>
      <c r="N96">
        <f>IF(M96="","",IF(H96="Y","OK",IF(M96&gt;=Settings!$B$8,"MATCH","HOLD")))</f>
        <v/>
      </c>
    </row>
    <row r="97">
      <c r="E97">
        <f>IF(D97="","",Settings!$B$6)</f>
        <v/>
      </c>
      <c r="F97">
        <f>IF(D97="","",D97+E97)</f>
        <v/>
      </c>
      <c r="I97">
        <f>IF(G97="","",G97-Settings!$B$6)</f>
        <v/>
      </c>
      <c r="K97">
        <f>IF(J97="","",IF(J97&lt;Settings!$B$5,Settings!$B$3,Settings!$B$4))</f>
        <v/>
      </c>
      <c r="L97">
        <f>IF(G97="","",G97*Settings!$B$2)</f>
        <v/>
      </c>
      <c r="M97">
        <f>IF(OR(G97="",J97=""),"",G97-L97-J97-K97-Settings!$B$6)</f>
        <v/>
      </c>
      <c r="N97">
        <f>IF(M97="","",IF(H97="Y","OK",IF(M97&gt;=Settings!$B$8,"MATCH","HOLD")))</f>
        <v/>
      </c>
    </row>
    <row r="98">
      <c r="E98">
        <f>IF(D98="","",Settings!$B$6)</f>
        <v/>
      </c>
      <c r="F98">
        <f>IF(D98="","",D98+E98)</f>
        <v/>
      </c>
      <c r="I98">
        <f>IF(G98="","",G98-Settings!$B$6)</f>
        <v/>
      </c>
      <c r="K98">
        <f>IF(J98="","",IF(J98&lt;Settings!$B$5,Settings!$B$3,Settings!$B$4))</f>
        <v/>
      </c>
      <c r="L98">
        <f>IF(G98="","",G98*Settings!$B$2)</f>
        <v/>
      </c>
      <c r="M98">
        <f>IF(OR(G98="",J98=""),"",G98-L98-J98-K98-Settings!$B$6)</f>
        <v/>
      </c>
      <c r="N98">
        <f>IF(M98="","",IF(H98="Y","OK",IF(M98&gt;=Settings!$B$8,"MATCH","HOLD")))</f>
        <v/>
      </c>
    </row>
    <row r="99">
      <c r="E99">
        <f>IF(D99="","",Settings!$B$6)</f>
        <v/>
      </c>
      <c r="F99">
        <f>IF(D99="","",D99+E99)</f>
        <v/>
      </c>
      <c r="I99">
        <f>IF(G99="","",G99-Settings!$B$6)</f>
        <v/>
      </c>
      <c r="K99">
        <f>IF(J99="","",IF(J99&lt;Settings!$B$5,Settings!$B$3,Settings!$B$4))</f>
        <v/>
      </c>
      <c r="L99">
        <f>IF(G99="","",G99*Settings!$B$2)</f>
        <v/>
      </c>
      <c r="M99">
        <f>IF(OR(G99="",J99=""),"",G99-L99-J99-K99-Settings!$B$6)</f>
        <v/>
      </c>
      <c r="N99">
        <f>IF(M99="","",IF(H99="Y","OK",IF(M99&gt;=Settings!$B$8,"MATCH","HOLD")))</f>
        <v/>
      </c>
    </row>
    <row r="100">
      <c r="E100">
        <f>IF(D100="","",Settings!$B$6)</f>
        <v/>
      </c>
      <c r="F100">
        <f>IF(D100="","",D100+E100)</f>
        <v/>
      </c>
      <c r="I100">
        <f>IF(G100="","",G100-Settings!$B$6)</f>
        <v/>
      </c>
      <c r="K100">
        <f>IF(J100="","",IF(J100&lt;Settings!$B$5,Settings!$B$3,Settings!$B$4))</f>
        <v/>
      </c>
      <c r="L100">
        <f>IF(G100="","",G100*Settings!$B$2)</f>
        <v/>
      </c>
      <c r="M100">
        <f>IF(OR(G100="",J100=""),"",G100-L100-J100-K100-Settings!$B$6)</f>
        <v/>
      </c>
      <c r="N100">
        <f>IF(M100="","",IF(H100="Y","OK",IF(M100&gt;=Settings!$B$8,"MATCH","HOLD")))</f>
        <v/>
      </c>
    </row>
    <row r="101">
      <c r="E101">
        <f>IF(D101="","",Settings!$B$6)</f>
        <v/>
      </c>
      <c r="F101">
        <f>IF(D101="","",D101+E101)</f>
        <v/>
      </c>
      <c r="I101">
        <f>IF(G101="","",G101-Settings!$B$6)</f>
        <v/>
      </c>
      <c r="K101">
        <f>IF(J101="","",IF(J101&lt;Settings!$B$5,Settings!$B$3,Settings!$B$4))</f>
        <v/>
      </c>
      <c r="L101">
        <f>IF(G101="","",G101*Settings!$B$2)</f>
        <v/>
      </c>
      <c r="M101">
        <f>IF(OR(G101="",J101=""),"",G101-L101-J101-K101-Settings!$B$6)</f>
        <v/>
      </c>
      <c r="N101">
        <f>IF(M101="","",IF(H101="Y","OK",IF(M101&gt;=Settings!$B$8,"MATCH","HOLD")))</f>
        <v/>
      </c>
    </row>
    <row r="102">
      <c r="E102">
        <f>IF(D102="","",Settings!$B$6)</f>
        <v/>
      </c>
      <c r="F102">
        <f>IF(D102="","",D102+E102)</f>
        <v/>
      </c>
      <c r="I102">
        <f>IF(G102="","",G102-Settings!$B$6)</f>
        <v/>
      </c>
      <c r="K102">
        <f>IF(J102="","",IF(J102&lt;Settings!$B$5,Settings!$B$3,Settings!$B$4))</f>
        <v/>
      </c>
      <c r="L102">
        <f>IF(G102="","",G102*Settings!$B$2)</f>
        <v/>
      </c>
      <c r="M102">
        <f>IF(OR(G102="",J102=""),"",G102-L102-J102-K102-Settings!$B$6)</f>
        <v/>
      </c>
      <c r="N102">
        <f>IF(M102="","",IF(H102="Y","OK",IF(M102&gt;=Settings!$B$8,"MATCH","HOLD")))</f>
        <v/>
      </c>
    </row>
    <row r="103">
      <c r="E103">
        <f>IF(D103="","",Settings!$B$6)</f>
        <v/>
      </c>
      <c r="F103">
        <f>IF(D103="","",D103+E103)</f>
        <v/>
      </c>
      <c r="I103">
        <f>IF(G103="","",G103-Settings!$B$6)</f>
        <v/>
      </c>
      <c r="K103">
        <f>IF(J103="","",IF(J103&lt;Settings!$B$5,Settings!$B$3,Settings!$B$4))</f>
        <v/>
      </c>
      <c r="L103">
        <f>IF(G103="","",G103*Settings!$B$2)</f>
        <v/>
      </c>
      <c r="M103">
        <f>IF(OR(G103="",J103=""),"",G103-L103-J103-K103-Settings!$B$6)</f>
        <v/>
      </c>
      <c r="N103">
        <f>IF(M103="","",IF(H103="Y","OK",IF(M103&gt;=Settings!$B$8,"MATCH","HOLD")))</f>
        <v/>
      </c>
    </row>
    <row r="104">
      <c r="E104">
        <f>IF(D104="","",Settings!$B$6)</f>
        <v/>
      </c>
      <c r="F104">
        <f>IF(D104="","",D104+E104)</f>
        <v/>
      </c>
      <c r="I104">
        <f>IF(G104="","",G104-Settings!$B$6)</f>
        <v/>
      </c>
      <c r="K104">
        <f>IF(J104="","",IF(J104&lt;Settings!$B$5,Settings!$B$3,Settings!$B$4))</f>
        <v/>
      </c>
      <c r="L104">
        <f>IF(G104="","",G104*Settings!$B$2)</f>
        <v/>
      </c>
      <c r="M104">
        <f>IF(OR(G104="",J104=""),"",G104-L104-J104-K104-Settings!$B$6)</f>
        <v/>
      </c>
      <c r="N104">
        <f>IF(M104="","",IF(H104="Y","OK",IF(M104&gt;=Settings!$B$8,"MATCH","HOLD")))</f>
        <v/>
      </c>
    </row>
    <row r="105">
      <c r="E105">
        <f>IF(D105="","",Settings!$B$6)</f>
        <v/>
      </c>
      <c r="F105">
        <f>IF(D105="","",D105+E105)</f>
        <v/>
      </c>
      <c r="I105">
        <f>IF(G105="","",G105-Settings!$B$6)</f>
        <v/>
      </c>
      <c r="K105">
        <f>IF(J105="","",IF(J105&lt;Settings!$B$5,Settings!$B$3,Settings!$B$4))</f>
        <v/>
      </c>
      <c r="L105">
        <f>IF(G105="","",G105*Settings!$B$2)</f>
        <v/>
      </c>
      <c r="M105">
        <f>IF(OR(G105="",J105=""),"",G105-L105-J105-K105-Settings!$B$6)</f>
        <v/>
      </c>
      <c r="N105">
        <f>IF(M105="","",IF(H105="Y","OK",IF(M105&gt;=Settings!$B$8,"MATCH","HOLD")))</f>
        <v/>
      </c>
    </row>
    <row r="106">
      <c r="E106">
        <f>IF(D106="","",Settings!$B$6)</f>
        <v/>
      </c>
      <c r="F106">
        <f>IF(D106="","",D106+E106)</f>
        <v/>
      </c>
      <c r="I106">
        <f>IF(G106="","",G106-Settings!$B$6)</f>
        <v/>
      </c>
      <c r="K106">
        <f>IF(J106="","",IF(J106&lt;Settings!$B$5,Settings!$B$3,Settings!$B$4))</f>
        <v/>
      </c>
      <c r="L106">
        <f>IF(G106="","",G106*Settings!$B$2)</f>
        <v/>
      </c>
      <c r="M106">
        <f>IF(OR(G106="",J106=""),"",G106-L106-J106-K106-Settings!$B$6)</f>
        <v/>
      </c>
      <c r="N106">
        <f>IF(M106="","",IF(H106="Y","OK",IF(M106&gt;=Settings!$B$8,"MATCH","HOLD")))</f>
        <v/>
      </c>
    </row>
    <row r="107">
      <c r="E107">
        <f>IF(D107="","",Settings!$B$6)</f>
        <v/>
      </c>
      <c r="F107">
        <f>IF(D107="","",D107+E107)</f>
        <v/>
      </c>
      <c r="I107">
        <f>IF(G107="","",G107-Settings!$B$6)</f>
        <v/>
      </c>
      <c r="K107">
        <f>IF(J107="","",IF(J107&lt;Settings!$B$5,Settings!$B$3,Settings!$B$4))</f>
        <v/>
      </c>
      <c r="L107">
        <f>IF(G107="","",G107*Settings!$B$2)</f>
        <v/>
      </c>
      <c r="M107">
        <f>IF(OR(G107="",J107=""),"",G107-L107-J107-K107-Settings!$B$6)</f>
        <v/>
      </c>
      <c r="N107">
        <f>IF(M107="","",IF(H107="Y","OK",IF(M107&gt;=Settings!$B$8,"MATCH","HOLD")))</f>
        <v/>
      </c>
    </row>
    <row r="108">
      <c r="E108">
        <f>IF(D108="","",Settings!$B$6)</f>
        <v/>
      </c>
      <c r="F108">
        <f>IF(D108="","",D108+E108)</f>
        <v/>
      </c>
      <c r="I108">
        <f>IF(G108="","",G108-Settings!$B$6)</f>
        <v/>
      </c>
      <c r="K108">
        <f>IF(J108="","",IF(J108&lt;Settings!$B$5,Settings!$B$3,Settings!$B$4))</f>
        <v/>
      </c>
      <c r="L108">
        <f>IF(G108="","",G108*Settings!$B$2)</f>
        <v/>
      </c>
      <c r="M108">
        <f>IF(OR(G108="",J108=""),"",G108-L108-J108-K108-Settings!$B$6)</f>
        <v/>
      </c>
      <c r="N108">
        <f>IF(M108="","",IF(H108="Y","OK",IF(M108&gt;=Settings!$B$8,"MATCH","HOLD")))</f>
        <v/>
      </c>
    </row>
    <row r="109">
      <c r="E109">
        <f>IF(D109="","",Settings!$B$6)</f>
        <v/>
      </c>
      <c r="F109">
        <f>IF(D109="","",D109+E109)</f>
        <v/>
      </c>
      <c r="I109">
        <f>IF(G109="","",G109-Settings!$B$6)</f>
        <v/>
      </c>
      <c r="K109">
        <f>IF(J109="","",IF(J109&lt;Settings!$B$5,Settings!$B$3,Settings!$B$4))</f>
        <v/>
      </c>
      <c r="L109">
        <f>IF(G109="","",G109*Settings!$B$2)</f>
        <v/>
      </c>
      <c r="M109">
        <f>IF(OR(G109="",J109=""),"",G109-L109-J109-K109-Settings!$B$6)</f>
        <v/>
      </c>
      <c r="N109">
        <f>IF(M109="","",IF(H109="Y","OK",IF(M109&gt;=Settings!$B$8,"MATCH","HOLD")))</f>
        <v/>
      </c>
    </row>
    <row r="110">
      <c r="E110">
        <f>IF(D110="","",Settings!$B$6)</f>
        <v/>
      </c>
      <c r="F110">
        <f>IF(D110="","",D110+E110)</f>
        <v/>
      </c>
      <c r="I110">
        <f>IF(G110="","",G110-Settings!$B$6)</f>
        <v/>
      </c>
      <c r="K110">
        <f>IF(J110="","",IF(J110&lt;Settings!$B$5,Settings!$B$3,Settings!$B$4))</f>
        <v/>
      </c>
      <c r="L110">
        <f>IF(G110="","",G110*Settings!$B$2)</f>
        <v/>
      </c>
      <c r="M110">
        <f>IF(OR(G110="",J110=""),"",G110-L110-J110-K110-Settings!$B$6)</f>
        <v/>
      </c>
      <c r="N110">
        <f>IF(M110="","",IF(H110="Y","OK",IF(M110&gt;=Settings!$B$8,"MATCH","HOLD")))</f>
        <v/>
      </c>
    </row>
    <row r="111">
      <c r="E111">
        <f>IF(D111="","",Settings!$B$6)</f>
        <v/>
      </c>
      <c r="F111">
        <f>IF(D111="","",D111+E111)</f>
        <v/>
      </c>
      <c r="I111">
        <f>IF(G111="","",G111-Settings!$B$6)</f>
        <v/>
      </c>
      <c r="K111">
        <f>IF(J111="","",IF(J111&lt;Settings!$B$5,Settings!$B$3,Settings!$B$4))</f>
        <v/>
      </c>
      <c r="L111">
        <f>IF(G111="","",G111*Settings!$B$2)</f>
        <v/>
      </c>
      <c r="M111">
        <f>IF(OR(G111="",J111=""),"",G111-L111-J111-K111-Settings!$B$6)</f>
        <v/>
      </c>
      <c r="N111">
        <f>IF(M111="","",IF(H111="Y","OK",IF(M111&gt;=Settings!$B$8,"MATCH","HOLD")))</f>
        <v/>
      </c>
    </row>
    <row r="112">
      <c r="E112">
        <f>IF(D112="","",Settings!$B$6)</f>
        <v/>
      </c>
      <c r="F112">
        <f>IF(D112="","",D112+E112)</f>
        <v/>
      </c>
      <c r="I112">
        <f>IF(G112="","",G112-Settings!$B$6)</f>
        <v/>
      </c>
      <c r="K112">
        <f>IF(J112="","",IF(J112&lt;Settings!$B$5,Settings!$B$3,Settings!$B$4))</f>
        <v/>
      </c>
      <c r="L112">
        <f>IF(G112="","",G112*Settings!$B$2)</f>
        <v/>
      </c>
      <c r="M112">
        <f>IF(OR(G112="",J112=""),"",G112-L112-J112-K112-Settings!$B$6)</f>
        <v/>
      </c>
      <c r="N112">
        <f>IF(M112="","",IF(H112="Y","OK",IF(M112&gt;=Settings!$B$8,"MATCH","HOLD")))</f>
        <v/>
      </c>
    </row>
    <row r="113">
      <c r="E113">
        <f>IF(D113="","",Settings!$B$6)</f>
        <v/>
      </c>
      <c r="F113">
        <f>IF(D113="","",D113+E113)</f>
        <v/>
      </c>
      <c r="I113">
        <f>IF(G113="","",G113-Settings!$B$6)</f>
        <v/>
      </c>
      <c r="K113">
        <f>IF(J113="","",IF(J113&lt;Settings!$B$5,Settings!$B$3,Settings!$B$4))</f>
        <v/>
      </c>
      <c r="L113">
        <f>IF(G113="","",G113*Settings!$B$2)</f>
        <v/>
      </c>
      <c r="M113">
        <f>IF(OR(G113="",J113=""),"",G113-L113-J113-K113-Settings!$B$6)</f>
        <v/>
      </c>
      <c r="N113">
        <f>IF(M113="","",IF(H113="Y","OK",IF(M113&gt;=Settings!$B$8,"MATCH","HOLD")))</f>
        <v/>
      </c>
    </row>
    <row r="114">
      <c r="E114">
        <f>IF(D114="","",Settings!$B$6)</f>
        <v/>
      </c>
      <c r="F114">
        <f>IF(D114="","",D114+E114)</f>
        <v/>
      </c>
      <c r="I114">
        <f>IF(G114="","",G114-Settings!$B$6)</f>
        <v/>
      </c>
      <c r="K114">
        <f>IF(J114="","",IF(J114&lt;Settings!$B$5,Settings!$B$3,Settings!$B$4))</f>
        <v/>
      </c>
      <c r="L114">
        <f>IF(G114="","",G114*Settings!$B$2)</f>
        <v/>
      </c>
      <c r="M114">
        <f>IF(OR(G114="",J114=""),"",G114-L114-J114-K114-Settings!$B$6)</f>
        <v/>
      </c>
      <c r="N114">
        <f>IF(M114="","",IF(H114="Y","OK",IF(M114&gt;=Settings!$B$8,"MATCH","HOLD")))</f>
        <v/>
      </c>
    </row>
    <row r="115">
      <c r="E115">
        <f>IF(D115="","",Settings!$B$6)</f>
        <v/>
      </c>
      <c r="F115">
        <f>IF(D115="","",D115+E115)</f>
        <v/>
      </c>
      <c r="I115">
        <f>IF(G115="","",G115-Settings!$B$6)</f>
        <v/>
      </c>
      <c r="K115">
        <f>IF(J115="","",IF(J115&lt;Settings!$B$5,Settings!$B$3,Settings!$B$4))</f>
        <v/>
      </c>
      <c r="L115">
        <f>IF(G115="","",G115*Settings!$B$2)</f>
        <v/>
      </c>
      <c r="M115">
        <f>IF(OR(G115="",J115=""),"",G115-L115-J115-K115-Settings!$B$6)</f>
        <v/>
      </c>
      <c r="N115">
        <f>IF(M115="","",IF(H115="Y","OK",IF(M115&gt;=Settings!$B$8,"MATCH","HOLD")))</f>
        <v/>
      </c>
    </row>
    <row r="116">
      <c r="E116">
        <f>IF(D116="","",Settings!$B$6)</f>
        <v/>
      </c>
      <c r="F116">
        <f>IF(D116="","",D116+E116)</f>
        <v/>
      </c>
      <c r="I116">
        <f>IF(G116="","",G116-Settings!$B$6)</f>
        <v/>
      </c>
      <c r="K116">
        <f>IF(J116="","",IF(J116&lt;Settings!$B$5,Settings!$B$3,Settings!$B$4))</f>
        <v/>
      </c>
      <c r="L116">
        <f>IF(G116="","",G116*Settings!$B$2)</f>
        <v/>
      </c>
      <c r="M116">
        <f>IF(OR(G116="",J116=""),"",G116-L116-J116-K116-Settings!$B$6)</f>
        <v/>
      </c>
      <c r="N116">
        <f>IF(M116="","",IF(H116="Y","OK",IF(M116&gt;=Settings!$B$8,"MATCH","HOLD")))</f>
        <v/>
      </c>
    </row>
    <row r="117">
      <c r="E117">
        <f>IF(D117="","",Settings!$B$6)</f>
        <v/>
      </c>
      <c r="F117">
        <f>IF(D117="","",D117+E117)</f>
        <v/>
      </c>
      <c r="I117">
        <f>IF(G117="","",G117-Settings!$B$6)</f>
        <v/>
      </c>
      <c r="K117">
        <f>IF(J117="","",IF(J117&lt;Settings!$B$5,Settings!$B$3,Settings!$B$4))</f>
        <v/>
      </c>
      <c r="L117">
        <f>IF(G117="","",G117*Settings!$B$2)</f>
        <v/>
      </c>
      <c r="M117">
        <f>IF(OR(G117="",J117=""),"",G117-L117-J117-K117-Settings!$B$6)</f>
        <v/>
      </c>
      <c r="N117">
        <f>IF(M117="","",IF(H117="Y","OK",IF(M117&gt;=Settings!$B$8,"MATCH","HOLD")))</f>
        <v/>
      </c>
    </row>
    <row r="118">
      <c r="E118">
        <f>IF(D118="","",Settings!$B$6)</f>
        <v/>
      </c>
      <c r="F118">
        <f>IF(D118="","",D118+E118)</f>
        <v/>
      </c>
      <c r="I118">
        <f>IF(G118="","",G118-Settings!$B$6)</f>
        <v/>
      </c>
      <c r="K118">
        <f>IF(J118="","",IF(J118&lt;Settings!$B$5,Settings!$B$3,Settings!$B$4))</f>
        <v/>
      </c>
      <c r="L118">
        <f>IF(G118="","",G118*Settings!$B$2)</f>
        <v/>
      </c>
      <c r="M118">
        <f>IF(OR(G118="",J118=""),"",G118-L118-J118-K118-Settings!$B$6)</f>
        <v/>
      </c>
      <c r="N118">
        <f>IF(M118="","",IF(H118="Y","OK",IF(M118&gt;=Settings!$B$8,"MATCH","HOLD")))</f>
        <v/>
      </c>
    </row>
    <row r="119">
      <c r="E119">
        <f>IF(D119="","",Settings!$B$6)</f>
        <v/>
      </c>
      <c r="F119">
        <f>IF(D119="","",D119+E119)</f>
        <v/>
      </c>
      <c r="I119">
        <f>IF(G119="","",G119-Settings!$B$6)</f>
        <v/>
      </c>
      <c r="K119">
        <f>IF(J119="","",IF(J119&lt;Settings!$B$5,Settings!$B$3,Settings!$B$4))</f>
        <v/>
      </c>
      <c r="L119">
        <f>IF(G119="","",G119*Settings!$B$2)</f>
        <v/>
      </c>
      <c r="M119">
        <f>IF(OR(G119="",J119=""),"",G119-L119-J119-K119-Settings!$B$6)</f>
        <v/>
      </c>
      <c r="N119">
        <f>IF(M119="","",IF(H119="Y","OK",IF(M119&gt;=Settings!$B$8,"MATCH","HOLD")))</f>
        <v/>
      </c>
    </row>
    <row r="120">
      <c r="E120">
        <f>IF(D120="","",Settings!$B$6)</f>
        <v/>
      </c>
      <c r="F120">
        <f>IF(D120="","",D120+E120)</f>
        <v/>
      </c>
      <c r="I120">
        <f>IF(G120="","",G120-Settings!$B$6)</f>
        <v/>
      </c>
      <c r="K120">
        <f>IF(J120="","",IF(J120&lt;Settings!$B$5,Settings!$B$3,Settings!$B$4))</f>
        <v/>
      </c>
      <c r="L120">
        <f>IF(G120="","",G120*Settings!$B$2)</f>
        <v/>
      </c>
      <c r="M120">
        <f>IF(OR(G120="",J120=""),"",G120-L120-J120-K120-Settings!$B$6)</f>
        <v/>
      </c>
      <c r="N120">
        <f>IF(M120="","",IF(H120="Y","OK",IF(M120&gt;=Settings!$B$8,"MATCH","HOLD")))</f>
        <v/>
      </c>
    </row>
    <row r="121">
      <c r="E121">
        <f>IF(D121="","",Settings!$B$6)</f>
        <v/>
      </c>
      <c r="F121">
        <f>IF(D121="","",D121+E121)</f>
        <v/>
      </c>
      <c r="I121">
        <f>IF(G121="","",G121-Settings!$B$6)</f>
        <v/>
      </c>
      <c r="K121">
        <f>IF(J121="","",IF(J121&lt;Settings!$B$5,Settings!$B$3,Settings!$B$4))</f>
        <v/>
      </c>
      <c r="L121">
        <f>IF(G121="","",G121*Settings!$B$2)</f>
        <v/>
      </c>
      <c r="M121">
        <f>IF(OR(G121="",J121=""),"",G121-L121-J121-K121-Settings!$B$6)</f>
        <v/>
      </c>
      <c r="N121">
        <f>IF(M121="","",IF(H121="Y","OK",IF(M121&gt;=Settings!$B$8,"MATCH","HOLD")))</f>
        <v/>
      </c>
    </row>
    <row r="122">
      <c r="E122">
        <f>IF(D122="","",Settings!$B$6)</f>
        <v/>
      </c>
      <c r="F122">
        <f>IF(D122="","",D122+E122)</f>
        <v/>
      </c>
      <c r="I122">
        <f>IF(G122="","",G122-Settings!$B$6)</f>
        <v/>
      </c>
      <c r="K122">
        <f>IF(J122="","",IF(J122&lt;Settings!$B$5,Settings!$B$3,Settings!$B$4))</f>
        <v/>
      </c>
      <c r="L122">
        <f>IF(G122="","",G122*Settings!$B$2)</f>
        <v/>
      </c>
      <c r="M122">
        <f>IF(OR(G122="",J122=""),"",G122-L122-J122-K122-Settings!$B$6)</f>
        <v/>
      </c>
      <c r="N122">
        <f>IF(M122="","",IF(H122="Y","OK",IF(M122&gt;=Settings!$B$8,"MATCH","HOLD")))</f>
        <v/>
      </c>
    </row>
    <row r="123">
      <c r="E123">
        <f>IF(D123="","",Settings!$B$6)</f>
        <v/>
      </c>
      <c r="F123">
        <f>IF(D123="","",D123+E123)</f>
        <v/>
      </c>
      <c r="I123">
        <f>IF(G123="","",G123-Settings!$B$6)</f>
        <v/>
      </c>
      <c r="K123">
        <f>IF(J123="","",IF(J123&lt;Settings!$B$5,Settings!$B$3,Settings!$B$4))</f>
        <v/>
      </c>
      <c r="L123">
        <f>IF(G123="","",G123*Settings!$B$2)</f>
        <v/>
      </c>
      <c r="M123">
        <f>IF(OR(G123="",J123=""),"",G123-L123-J123-K123-Settings!$B$6)</f>
        <v/>
      </c>
      <c r="N123">
        <f>IF(M123="","",IF(H123="Y","OK",IF(M123&gt;=Settings!$B$8,"MATCH","HOLD")))</f>
        <v/>
      </c>
    </row>
    <row r="124">
      <c r="E124">
        <f>IF(D124="","",Settings!$B$6)</f>
        <v/>
      </c>
      <c r="F124">
        <f>IF(D124="","",D124+E124)</f>
        <v/>
      </c>
      <c r="I124">
        <f>IF(G124="","",G124-Settings!$B$6)</f>
        <v/>
      </c>
      <c r="K124">
        <f>IF(J124="","",IF(J124&lt;Settings!$B$5,Settings!$B$3,Settings!$B$4))</f>
        <v/>
      </c>
      <c r="L124">
        <f>IF(G124="","",G124*Settings!$B$2)</f>
        <v/>
      </c>
      <c r="M124">
        <f>IF(OR(G124="",J124=""),"",G124-L124-J124-K124-Settings!$B$6)</f>
        <v/>
      </c>
      <c r="N124">
        <f>IF(M124="","",IF(H124="Y","OK",IF(M124&gt;=Settings!$B$8,"MATCH","HOLD")))</f>
        <v/>
      </c>
    </row>
    <row r="125">
      <c r="E125">
        <f>IF(D125="","",Settings!$B$6)</f>
        <v/>
      </c>
      <c r="F125">
        <f>IF(D125="","",D125+E125)</f>
        <v/>
      </c>
      <c r="I125">
        <f>IF(G125="","",G125-Settings!$B$6)</f>
        <v/>
      </c>
      <c r="K125">
        <f>IF(J125="","",IF(J125&lt;Settings!$B$5,Settings!$B$3,Settings!$B$4))</f>
        <v/>
      </c>
      <c r="L125">
        <f>IF(G125="","",G125*Settings!$B$2)</f>
        <v/>
      </c>
      <c r="M125">
        <f>IF(OR(G125="",J125=""),"",G125-L125-J125-K125-Settings!$B$6)</f>
        <v/>
      </c>
      <c r="N125">
        <f>IF(M125="","",IF(H125="Y","OK",IF(M125&gt;=Settings!$B$8,"MATCH","HOLD")))</f>
        <v/>
      </c>
    </row>
    <row r="126">
      <c r="E126">
        <f>IF(D126="","",Settings!$B$6)</f>
        <v/>
      </c>
      <c r="F126">
        <f>IF(D126="","",D126+E126)</f>
        <v/>
      </c>
      <c r="I126">
        <f>IF(G126="","",G126-Settings!$B$6)</f>
        <v/>
      </c>
      <c r="K126">
        <f>IF(J126="","",IF(J126&lt;Settings!$B$5,Settings!$B$3,Settings!$B$4))</f>
        <v/>
      </c>
      <c r="L126">
        <f>IF(G126="","",G126*Settings!$B$2)</f>
        <v/>
      </c>
      <c r="M126">
        <f>IF(OR(G126="",J126=""),"",G126-L126-J126-K126-Settings!$B$6)</f>
        <v/>
      </c>
      <c r="N126">
        <f>IF(M126="","",IF(H126="Y","OK",IF(M126&gt;=Settings!$B$8,"MATCH","HOLD")))</f>
        <v/>
      </c>
    </row>
    <row r="127">
      <c r="E127">
        <f>IF(D127="","",Settings!$B$6)</f>
        <v/>
      </c>
      <c r="F127">
        <f>IF(D127="","",D127+E127)</f>
        <v/>
      </c>
      <c r="I127">
        <f>IF(G127="","",G127-Settings!$B$6)</f>
        <v/>
      </c>
      <c r="K127">
        <f>IF(J127="","",IF(J127&lt;Settings!$B$5,Settings!$B$3,Settings!$B$4))</f>
        <v/>
      </c>
      <c r="L127">
        <f>IF(G127="","",G127*Settings!$B$2)</f>
        <v/>
      </c>
      <c r="M127">
        <f>IF(OR(G127="",J127=""),"",G127-L127-J127-K127-Settings!$B$6)</f>
        <v/>
      </c>
      <c r="N127">
        <f>IF(M127="","",IF(H127="Y","OK",IF(M127&gt;=Settings!$B$8,"MATCH","HOLD")))</f>
        <v/>
      </c>
    </row>
    <row r="128">
      <c r="E128">
        <f>IF(D128="","",Settings!$B$6)</f>
        <v/>
      </c>
      <c r="F128">
        <f>IF(D128="","",D128+E128)</f>
        <v/>
      </c>
      <c r="I128">
        <f>IF(G128="","",G128-Settings!$B$6)</f>
        <v/>
      </c>
      <c r="K128">
        <f>IF(J128="","",IF(J128&lt;Settings!$B$5,Settings!$B$3,Settings!$B$4))</f>
        <v/>
      </c>
      <c r="L128">
        <f>IF(G128="","",G128*Settings!$B$2)</f>
        <v/>
      </c>
      <c r="M128">
        <f>IF(OR(G128="",J128=""),"",G128-L128-J128-K128-Settings!$B$6)</f>
        <v/>
      </c>
      <c r="N128">
        <f>IF(M128="","",IF(H128="Y","OK",IF(M128&gt;=Settings!$B$8,"MATCH","HOLD")))</f>
        <v/>
      </c>
    </row>
    <row r="129">
      <c r="E129">
        <f>IF(D129="","",Settings!$B$6)</f>
        <v/>
      </c>
      <c r="F129">
        <f>IF(D129="","",D129+E129)</f>
        <v/>
      </c>
      <c r="I129">
        <f>IF(G129="","",G129-Settings!$B$6)</f>
        <v/>
      </c>
      <c r="K129">
        <f>IF(J129="","",IF(J129&lt;Settings!$B$5,Settings!$B$3,Settings!$B$4))</f>
        <v/>
      </c>
      <c r="L129">
        <f>IF(G129="","",G129*Settings!$B$2)</f>
        <v/>
      </c>
      <c r="M129">
        <f>IF(OR(G129="",J129=""),"",G129-L129-J129-K129-Settings!$B$6)</f>
        <v/>
      </c>
      <c r="N129">
        <f>IF(M129="","",IF(H129="Y","OK",IF(M129&gt;=Settings!$B$8,"MATCH","HOLD")))</f>
        <v/>
      </c>
    </row>
    <row r="130">
      <c r="E130">
        <f>IF(D130="","",Settings!$B$6)</f>
        <v/>
      </c>
      <c r="F130">
        <f>IF(D130="","",D130+E130)</f>
        <v/>
      </c>
      <c r="I130">
        <f>IF(G130="","",G130-Settings!$B$6)</f>
        <v/>
      </c>
      <c r="K130">
        <f>IF(J130="","",IF(J130&lt;Settings!$B$5,Settings!$B$3,Settings!$B$4))</f>
        <v/>
      </c>
      <c r="L130">
        <f>IF(G130="","",G130*Settings!$B$2)</f>
        <v/>
      </c>
      <c r="M130">
        <f>IF(OR(G130="",J130=""),"",G130-L130-J130-K130-Settings!$B$6)</f>
        <v/>
      </c>
      <c r="N130">
        <f>IF(M130="","",IF(H130="Y","OK",IF(M130&gt;=Settings!$B$8,"MATCH","HOLD")))</f>
        <v/>
      </c>
    </row>
    <row r="131">
      <c r="E131">
        <f>IF(D131="","",Settings!$B$6)</f>
        <v/>
      </c>
      <c r="F131">
        <f>IF(D131="","",D131+E131)</f>
        <v/>
      </c>
      <c r="I131">
        <f>IF(G131="","",G131-Settings!$B$6)</f>
        <v/>
      </c>
      <c r="K131">
        <f>IF(J131="","",IF(J131&lt;Settings!$B$5,Settings!$B$3,Settings!$B$4))</f>
        <v/>
      </c>
      <c r="L131">
        <f>IF(G131="","",G131*Settings!$B$2)</f>
        <v/>
      </c>
      <c r="M131">
        <f>IF(OR(G131="",J131=""),"",G131-L131-J131-K131-Settings!$B$6)</f>
        <v/>
      </c>
      <c r="N131">
        <f>IF(M131="","",IF(H131="Y","OK",IF(M131&gt;=Settings!$B$8,"MATCH","HOLD")))</f>
        <v/>
      </c>
    </row>
    <row r="132">
      <c r="E132">
        <f>IF(D132="","",Settings!$B$6)</f>
        <v/>
      </c>
      <c r="F132">
        <f>IF(D132="","",D132+E132)</f>
        <v/>
      </c>
      <c r="I132">
        <f>IF(G132="","",G132-Settings!$B$6)</f>
        <v/>
      </c>
      <c r="K132">
        <f>IF(J132="","",IF(J132&lt;Settings!$B$5,Settings!$B$3,Settings!$B$4))</f>
        <v/>
      </c>
      <c r="L132">
        <f>IF(G132="","",G132*Settings!$B$2)</f>
        <v/>
      </c>
      <c r="M132">
        <f>IF(OR(G132="",J132=""),"",G132-L132-J132-K132-Settings!$B$6)</f>
        <v/>
      </c>
      <c r="N132">
        <f>IF(M132="","",IF(H132="Y","OK",IF(M132&gt;=Settings!$B$8,"MATCH","HOLD")))</f>
        <v/>
      </c>
    </row>
    <row r="133">
      <c r="E133">
        <f>IF(D133="","",Settings!$B$6)</f>
        <v/>
      </c>
      <c r="F133">
        <f>IF(D133="","",D133+E133)</f>
        <v/>
      </c>
      <c r="I133">
        <f>IF(G133="","",G133-Settings!$B$6)</f>
        <v/>
      </c>
      <c r="K133">
        <f>IF(J133="","",IF(J133&lt;Settings!$B$5,Settings!$B$3,Settings!$B$4))</f>
        <v/>
      </c>
      <c r="L133">
        <f>IF(G133="","",G133*Settings!$B$2)</f>
        <v/>
      </c>
      <c r="M133">
        <f>IF(OR(G133="",J133=""),"",G133-L133-J133-K133-Settings!$B$6)</f>
        <v/>
      </c>
      <c r="N133">
        <f>IF(M133="","",IF(H133="Y","OK",IF(M133&gt;=Settings!$B$8,"MATCH","HOLD")))</f>
        <v/>
      </c>
    </row>
    <row r="134">
      <c r="E134">
        <f>IF(D134="","",Settings!$B$6)</f>
        <v/>
      </c>
      <c r="F134">
        <f>IF(D134="","",D134+E134)</f>
        <v/>
      </c>
      <c r="I134">
        <f>IF(G134="","",G134-Settings!$B$6)</f>
        <v/>
      </c>
      <c r="K134">
        <f>IF(J134="","",IF(J134&lt;Settings!$B$5,Settings!$B$3,Settings!$B$4))</f>
        <v/>
      </c>
      <c r="L134">
        <f>IF(G134="","",G134*Settings!$B$2)</f>
        <v/>
      </c>
      <c r="M134">
        <f>IF(OR(G134="",J134=""),"",G134-L134-J134-K134-Settings!$B$6)</f>
        <v/>
      </c>
      <c r="N134">
        <f>IF(M134="","",IF(H134="Y","OK",IF(M134&gt;=Settings!$B$8,"MATCH","HOLD")))</f>
        <v/>
      </c>
    </row>
    <row r="135">
      <c r="E135">
        <f>IF(D135="","",Settings!$B$6)</f>
        <v/>
      </c>
      <c r="F135">
        <f>IF(D135="","",D135+E135)</f>
        <v/>
      </c>
      <c r="I135">
        <f>IF(G135="","",G135-Settings!$B$6)</f>
        <v/>
      </c>
      <c r="K135">
        <f>IF(J135="","",IF(J135&lt;Settings!$B$5,Settings!$B$3,Settings!$B$4))</f>
        <v/>
      </c>
      <c r="L135">
        <f>IF(G135="","",G135*Settings!$B$2)</f>
        <v/>
      </c>
      <c r="M135">
        <f>IF(OR(G135="",J135=""),"",G135-L135-J135-K135-Settings!$B$6)</f>
        <v/>
      </c>
      <c r="N135">
        <f>IF(M135="","",IF(H135="Y","OK",IF(M135&gt;=Settings!$B$8,"MATCH","HOLD")))</f>
        <v/>
      </c>
    </row>
    <row r="136">
      <c r="E136">
        <f>IF(D136="","",Settings!$B$6)</f>
        <v/>
      </c>
      <c r="F136">
        <f>IF(D136="","",D136+E136)</f>
        <v/>
      </c>
      <c r="I136">
        <f>IF(G136="","",G136-Settings!$B$6)</f>
        <v/>
      </c>
      <c r="K136">
        <f>IF(J136="","",IF(J136&lt;Settings!$B$5,Settings!$B$3,Settings!$B$4))</f>
        <v/>
      </c>
      <c r="L136">
        <f>IF(G136="","",G136*Settings!$B$2)</f>
        <v/>
      </c>
      <c r="M136">
        <f>IF(OR(G136="",J136=""),"",G136-L136-J136-K136-Settings!$B$6)</f>
        <v/>
      </c>
      <c r="N136">
        <f>IF(M136="","",IF(H136="Y","OK",IF(M136&gt;=Settings!$B$8,"MATCH","HOLD")))</f>
        <v/>
      </c>
    </row>
    <row r="137">
      <c r="E137">
        <f>IF(D137="","",Settings!$B$6)</f>
        <v/>
      </c>
      <c r="F137">
        <f>IF(D137="","",D137+E137)</f>
        <v/>
      </c>
      <c r="I137">
        <f>IF(G137="","",G137-Settings!$B$6)</f>
        <v/>
      </c>
      <c r="K137">
        <f>IF(J137="","",IF(J137&lt;Settings!$B$5,Settings!$B$3,Settings!$B$4))</f>
        <v/>
      </c>
      <c r="L137">
        <f>IF(G137="","",G137*Settings!$B$2)</f>
        <v/>
      </c>
      <c r="M137">
        <f>IF(OR(G137="",J137=""),"",G137-L137-J137-K137-Settings!$B$6)</f>
        <v/>
      </c>
      <c r="N137">
        <f>IF(M137="","",IF(H137="Y","OK",IF(M137&gt;=Settings!$B$8,"MATCH","HOLD")))</f>
        <v/>
      </c>
    </row>
    <row r="138">
      <c r="E138">
        <f>IF(D138="","",Settings!$B$6)</f>
        <v/>
      </c>
      <c r="F138">
        <f>IF(D138="","",D138+E138)</f>
        <v/>
      </c>
      <c r="I138">
        <f>IF(G138="","",G138-Settings!$B$6)</f>
        <v/>
      </c>
      <c r="K138">
        <f>IF(J138="","",IF(J138&lt;Settings!$B$5,Settings!$B$3,Settings!$B$4))</f>
        <v/>
      </c>
      <c r="L138">
        <f>IF(G138="","",G138*Settings!$B$2)</f>
        <v/>
      </c>
      <c r="M138">
        <f>IF(OR(G138="",J138=""),"",G138-L138-J138-K138-Settings!$B$6)</f>
        <v/>
      </c>
      <c r="N138">
        <f>IF(M138="","",IF(H138="Y","OK",IF(M138&gt;=Settings!$B$8,"MATCH","HOLD")))</f>
        <v/>
      </c>
    </row>
    <row r="139">
      <c r="E139">
        <f>IF(D139="","",Settings!$B$6)</f>
        <v/>
      </c>
      <c r="F139">
        <f>IF(D139="","",D139+E139)</f>
        <v/>
      </c>
      <c r="I139">
        <f>IF(G139="","",G139-Settings!$B$6)</f>
        <v/>
      </c>
      <c r="K139">
        <f>IF(J139="","",IF(J139&lt;Settings!$B$5,Settings!$B$3,Settings!$B$4))</f>
        <v/>
      </c>
      <c r="L139">
        <f>IF(G139="","",G139*Settings!$B$2)</f>
        <v/>
      </c>
      <c r="M139">
        <f>IF(OR(G139="",J139=""),"",G139-L139-J139-K139-Settings!$B$6)</f>
        <v/>
      </c>
      <c r="N139">
        <f>IF(M139="","",IF(H139="Y","OK",IF(M139&gt;=Settings!$B$8,"MATCH","HOLD")))</f>
        <v/>
      </c>
    </row>
    <row r="140">
      <c r="E140">
        <f>IF(D140="","",Settings!$B$6)</f>
        <v/>
      </c>
      <c r="F140">
        <f>IF(D140="","",D140+E140)</f>
        <v/>
      </c>
      <c r="I140">
        <f>IF(G140="","",G140-Settings!$B$6)</f>
        <v/>
      </c>
      <c r="K140">
        <f>IF(J140="","",IF(J140&lt;Settings!$B$5,Settings!$B$3,Settings!$B$4))</f>
        <v/>
      </c>
      <c r="L140">
        <f>IF(G140="","",G140*Settings!$B$2)</f>
        <v/>
      </c>
      <c r="M140">
        <f>IF(OR(G140="",J140=""),"",G140-L140-J140-K140-Settings!$B$6)</f>
        <v/>
      </c>
      <c r="N140">
        <f>IF(M140="","",IF(H140="Y","OK",IF(M140&gt;=Settings!$B$8,"MATCH","HOLD")))</f>
        <v/>
      </c>
    </row>
    <row r="141">
      <c r="E141">
        <f>IF(D141="","",Settings!$B$6)</f>
        <v/>
      </c>
      <c r="F141">
        <f>IF(D141="","",D141+E141)</f>
        <v/>
      </c>
      <c r="I141">
        <f>IF(G141="","",G141-Settings!$B$6)</f>
        <v/>
      </c>
      <c r="K141">
        <f>IF(J141="","",IF(J141&lt;Settings!$B$5,Settings!$B$3,Settings!$B$4))</f>
        <v/>
      </c>
      <c r="L141">
        <f>IF(G141="","",G141*Settings!$B$2)</f>
        <v/>
      </c>
      <c r="M141">
        <f>IF(OR(G141="",J141=""),"",G141-L141-J141-K141-Settings!$B$6)</f>
        <v/>
      </c>
      <c r="N141">
        <f>IF(M141="","",IF(H141="Y","OK",IF(M141&gt;=Settings!$B$8,"MATCH","HOLD")))</f>
        <v/>
      </c>
    </row>
    <row r="142">
      <c r="E142">
        <f>IF(D142="","",Settings!$B$6)</f>
        <v/>
      </c>
      <c r="F142">
        <f>IF(D142="","",D142+E142)</f>
        <v/>
      </c>
      <c r="I142">
        <f>IF(G142="","",G142-Settings!$B$6)</f>
        <v/>
      </c>
      <c r="K142">
        <f>IF(J142="","",IF(J142&lt;Settings!$B$5,Settings!$B$3,Settings!$B$4))</f>
        <v/>
      </c>
      <c r="L142">
        <f>IF(G142="","",G142*Settings!$B$2)</f>
        <v/>
      </c>
      <c r="M142">
        <f>IF(OR(G142="",J142=""),"",G142-L142-J142-K142-Settings!$B$6)</f>
        <v/>
      </c>
      <c r="N142">
        <f>IF(M142="","",IF(H142="Y","OK",IF(M142&gt;=Settings!$B$8,"MATCH","HOLD")))</f>
        <v/>
      </c>
    </row>
    <row r="143">
      <c r="E143">
        <f>IF(D143="","",Settings!$B$6)</f>
        <v/>
      </c>
      <c r="F143">
        <f>IF(D143="","",D143+E143)</f>
        <v/>
      </c>
      <c r="I143">
        <f>IF(G143="","",G143-Settings!$B$6)</f>
        <v/>
      </c>
      <c r="K143">
        <f>IF(J143="","",IF(J143&lt;Settings!$B$5,Settings!$B$3,Settings!$B$4))</f>
        <v/>
      </c>
      <c r="L143">
        <f>IF(G143="","",G143*Settings!$B$2)</f>
        <v/>
      </c>
      <c r="M143">
        <f>IF(OR(G143="",J143=""),"",G143-L143-J143-K143-Settings!$B$6)</f>
        <v/>
      </c>
      <c r="N143">
        <f>IF(M143="","",IF(H143="Y","OK",IF(M143&gt;=Settings!$B$8,"MATCH","HOLD")))</f>
        <v/>
      </c>
    </row>
    <row r="144">
      <c r="E144">
        <f>IF(D144="","",Settings!$B$6)</f>
        <v/>
      </c>
      <c r="F144">
        <f>IF(D144="","",D144+E144)</f>
        <v/>
      </c>
      <c r="I144">
        <f>IF(G144="","",G144-Settings!$B$6)</f>
        <v/>
      </c>
      <c r="K144">
        <f>IF(J144="","",IF(J144&lt;Settings!$B$5,Settings!$B$3,Settings!$B$4))</f>
        <v/>
      </c>
      <c r="L144">
        <f>IF(G144="","",G144*Settings!$B$2)</f>
        <v/>
      </c>
      <c r="M144">
        <f>IF(OR(G144="",J144=""),"",G144-L144-J144-K144-Settings!$B$6)</f>
        <v/>
      </c>
      <c r="N144">
        <f>IF(M144="","",IF(H144="Y","OK",IF(M144&gt;=Settings!$B$8,"MATCH","HOLD")))</f>
        <v/>
      </c>
    </row>
    <row r="145">
      <c r="E145">
        <f>IF(D145="","",Settings!$B$6)</f>
        <v/>
      </c>
      <c r="F145">
        <f>IF(D145="","",D145+E145)</f>
        <v/>
      </c>
      <c r="I145">
        <f>IF(G145="","",G145-Settings!$B$6)</f>
        <v/>
      </c>
      <c r="K145">
        <f>IF(J145="","",IF(J145&lt;Settings!$B$5,Settings!$B$3,Settings!$B$4))</f>
        <v/>
      </c>
      <c r="L145">
        <f>IF(G145="","",G145*Settings!$B$2)</f>
        <v/>
      </c>
      <c r="M145">
        <f>IF(OR(G145="",J145=""),"",G145-L145-J145-K145-Settings!$B$6)</f>
        <v/>
      </c>
      <c r="N145">
        <f>IF(M145="","",IF(H145="Y","OK",IF(M145&gt;=Settings!$B$8,"MATCH","HOLD")))</f>
        <v/>
      </c>
    </row>
    <row r="146">
      <c r="E146">
        <f>IF(D146="","",Settings!$B$6)</f>
        <v/>
      </c>
      <c r="F146">
        <f>IF(D146="","",D146+E146)</f>
        <v/>
      </c>
      <c r="I146">
        <f>IF(G146="","",G146-Settings!$B$6)</f>
        <v/>
      </c>
      <c r="K146">
        <f>IF(J146="","",IF(J146&lt;Settings!$B$5,Settings!$B$3,Settings!$B$4))</f>
        <v/>
      </c>
      <c r="L146">
        <f>IF(G146="","",G146*Settings!$B$2)</f>
        <v/>
      </c>
      <c r="M146">
        <f>IF(OR(G146="",J146=""),"",G146-L146-J146-K146-Settings!$B$6)</f>
        <v/>
      </c>
      <c r="N146">
        <f>IF(M146="","",IF(H146="Y","OK",IF(M146&gt;=Settings!$B$8,"MATCH","HOLD")))</f>
        <v/>
      </c>
    </row>
    <row r="147">
      <c r="E147">
        <f>IF(D147="","",Settings!$B$6)</f>
        <v/>
      </c>
      <c r="F147">
        <f>IF(D147="","",D147+E147)</f>
        <v/>
      </c>
      <c r="I147">
        <f>IF(G147="","",G147-Settings!$B$6)</f>
        <v/>
      </c>
      <c r="K147">
        <f>IF(J147="","",IF(J147&lt;Settings!$B$5,Settings!$B$3,Settings!$B$4))</f>
        <v/>
      </c>
      <c r="L147">
        <f>IF(G147="","",G147*Settings!$B$2)</f>
        <v/>
      </c>
      <c r="M147">
        <f>IF(OR(G147="",J147=""),"",G147-L147-J147-K147-Settings!$B$6)</f>
        <v/>
      </c>
      <c r="N147">
        <f>IF(M147="","",IF(H147="Y","OK",IF(M147&gt;=Settings!$B$8,"MATCH","HOLD")))</f>
        <v/>
      </c>
    </row>
    <row r="148">
      <c r="E148">
        <f>IF(D148="","",Settings!$B$6)</f>
        <v/>
      </c>
      <c r="F148">
        <f>IF(D148="","",D148+E148)</f>
        <v/>
      </c>
      <c r="I148">
        <f>IF(G148="","",G148-Settings!$B$6)</f>
        <v/>
      </c>
      <c r="K148">
        <f>IF(J148="","",IF(J148&lt;Settings!$B$5,Settings!$B$3,Settings!$B$4))</f>
        <v/>
      </c>
      <c r="L148">
        <f>IF(G148="","",G148*Settings!$B$2)</f>
        <v/>
      </c>
      <c r="M148">
        <f>IF(OR(G148="",J148=""),"",G148-L148-J148-K148-Settings!$B$6)</f>
        <v/>
      </c>
      <c r="N148">
        <f>IF(M148="","",IF(H148="Y","OK",IF(M148&gt;=Settings!$B$8,"MATCH","HOLD")))</f>
        <v/>
      </c>
    </row>
    <row r="149">
      <c r="E149">
        <f>IF(D149="","",Settings!$B$6)</f>
        <v/>
      </c>
      <c r="F149">
        <f>IF(D149="","",D149+E149)</f>
        <v/>
      </c>
      <c r="I149">
        <f>IF(G149="","",G149-Settings!$B$6)</f>
        <v/>
      </c>
      <c r="K149">
        <f>IF(J149="","",IF(J149&lt;Settings!$B$5,Settings!$B$3,Settings!$B$4))</f>
        <v/>
      </c>
      <c r="L149">
        <f>IF(G149="","",G149*Settings!$B$2)</f>
        <v/>
      </c>
      <c r="M149">
        <f>IF(OR(G149="",J149=""),"",G149-L149-J149-K149-Settings!$B$6)</f>
        <v/>
      </c>
      <c r="N149">
        <f>IF(M149="","",IF(H149="Y","OK",IF(M149&gt;=Settings!$B$8,"MATCH","HOLD")))</f>
        <v/>
      </c>
    </row>
    <row r="150">
      <c r="E150">
        <f>IF(D150="","",Settings!$B$6)</f>
        <v/>
      </c>
      <c r="F150">
        <f>IF(D150="","",D150+E150)</f>
        <v/>
      </c>
      <c r="I150">
        <f>IF(G150="","",G150-Settings!$B$6)</f>
        <v/>
      </c>
      <c r="K150">
        <f>IF(J150="","",IF(J150&lt;Settings!$B$5,Settings!$B$3,Settings!$B$4))</f>
        <v/>
      </c>
      <c r="L150">
        <f>IF(G150="","",G150*Settings!$B$2)</f>
        <v/>
      </c>
      <c r="M150">
        <f>IF(OR(G150="",J150=""),"",G150-L150-J150-K150-Settings!$B$6)</f>
        <v/>
      </c>
      <c r="N150">
        <f>IF(M150="","",IF(H150="Y","OK",IF(M150&gt;=Settings!$B$8,"MATCH","HOLD")))</f>
        <v/>
      </c>
    </row>
    <row r="151">
      <c r="E151">
        <f>IF(D151="","",Settings!$B$6)</f>
        <v/>
      </c>
      <c r="F151">
        <f>IF(D151="","",D151+E151)</f>
        <v/>
      </c>
      <c r="I151">
        <f>IF(G151="","",G151-Settings!$B$6)</f>
        <v/>
      </c>
      <c r="K151">
        <f>IF(J151="","",IF(J151&lt;Settings!$B$5,Settings!$B$3,Settings!$B$4))</f>
        <v/>
      </c>
      <c r="L151">
        <f>IF(G151="","",G151*Settings!$B$2)</f>
        <v/>
      </c>
      <c r="M151">
        <f>IF(OR(G151="",J151=""),"",G151-L151-J151-K151-Settings!$B$6)</f>
        <v/>
      </c>
      <c r="N151">
        <f>IF(M151="","",IF(H151="Y","OK",IF(M151&gt;=Settings!$B$8,"MATCH","HOLD")))</f>
        <v/>
      </c>
    </row>
    <row r="152">
      <c r="E152">
        <f>IF(D152="","",Settings!$B$6)</f>
        <v/>
      </c>
      <c r="F152">
        <f>IF(D152="","",D152+E152)</f>
        <v/>
      </c>
      <c r="I152">
        <f>IF(G152="","",G152-Settings!$B$6)</f>
        <v/>
      </c>
      <c r="K152">
        <f>IF(J152="","",IF(J152&lt;Settings!$B$5,Settings!$B$3,Settings!$B$4))</f>
        <v/>
      </c>
      <c r="L152">
        <f>IF(G152="","",G152*Settings!$B$2)</f>
        <v/>
      </c>
      <c r="M152">
        <f>IF(OR(G152="",J152=""),"",G152-L152-J152-K152-Settings!$B$6)</f>
        <v/>
      </c>
      <c r="N152">
        <f>IF(M152="","",IF(H152="Y","OK",IF(M152&gt;=Settings!$B$8,"MATCH","HOLD")))</f>
        <v/>
      </c>
    </row>
    <row r="153">
      <c r="E153">
        <f>IF(D153="","",Settings!$B$6)</f>
        <v/>
      </c>
      <c r="F153">
        <f>IF(D153="","",D153+E153)</f>
        <v/>
      </c>
      <c r="I153">
        <f>IF(G153="","",G153-Settings!$B$6)</f>
        <v/>
      </c>
      <c r="K153">
        <f>IF(J153="","",IF(J153&lt;Settings!$B$5,Settings!$B$3,Settings!$B$4))</f>
        <v/>
      </c>
      <c r="L153">
        <f>IF(G153="","",G153*Settings!$B$2)</f>
        <v/>
      </c>
      <c r="M153">
        <f>IF(OR(G153="",J153=""),"",G153-L153-J153-K153-Settings!$B$6)</f>
        <v/>
      </c>
      <c r="N153">
        <f>IF(M153="","",IF(H153="Y","OK",IF(M153&gt;=Settings!$B$8,"MATCH","HOLD")))</f>
        <v/>
      </c>
    </row>
    <row r="154">
      <c r="E154">
        <f>IF(D154="","",Settings!$B$6)</f>
        <v/>
      </c>
      <c r="F154">
        <f>IF(D154="","",D154+E154)</f>
        <v/>
      </c>
      <c r="I154">
        <f>IF(G154="","",G154-Settings!$B$6)</f>
        <v/>
      </c>
      <c r="K154">
        <f>IF(J154="","",IF(J154&lt;Settings!$B$5,Settings!$B$3,Settings!$B$4))</f>
        <v/>
      </c>
      <c r="L154">
        <f>IF(G154="","",G154*Settings!$B$2)</f>
        <v/>
      </c>
      <c r="M154">
        <f>IF(OR(G154="",J154=""),"",G154-L154-J154-K154-Settings!$B$6)</f>
        <v/>
      </c>
      <c r="N154">
        <f>IF(M154="","",IF(H154="Y","OK",IF(M154&gt;=Settings!$B$8,"MATCH","HOLD")))</f>
        <v/>
      </c>
    </row>
    <row r="155">
      <c r="E155">
        <f>IF(D155="","",Settings!$B$6)</f>
        <v/>
      </c>
      <c r="F155">
        <f>IF(D155="","",D155+E155)</f>
        <v/>
      </c>
      <c r="I155">
        <f>IF(G155="","",G155-Settings!$B$6)</f>
        <v/>
      </c>
      <c r="K155">
        <f>IF(J155="","",IF(J155&lt;Settings!$B$5,Settings!$B$3,Settings!$B$4))</f>
        <v/>
      </c>
      <c r="L155">
        <f>IF(G155="","",G155*Settings!$B$2)</f>
        <v/>
      </c>
      <c r="M155">
        <f>IF(OR(G155="",J155=""),"",G155-L155-J155-K155-Settings!$B$6)</f>
        <v/>
      </c>
      <c r="N155">
        <f>IF(M155="","",IF(H155="Y","OK",IF(M155&gt;=Settings!$B$8,"MATCH","HOLD")))</f>
        <v/>
      </c>
    </row>
    <row r="156">
      <c r="E156">
        <f>IF(D156="","",Settings!$B$6)</f>
        <v/>
      </c>
      <c r="F156">
        <f>IF(D156="","",D156+E156)</f>
        <v/>
      </c>
      <c r="I156">
        <f>IF(G156="","",G156-Settings!$B$6)</f>
        <v/>
      </c>
      <c r="K156">
        <f>IF(J156="","",IF(J156&lt;Settings!$B$5,Settings!$B$3,Settings!$B$4))</f>
        <v/>
      </c>
      <c r="L156">
        <f>IF(G156="","",G156*Settings!$B$2)</f>
        <v/>
      </c>
      <c r="M156">
        <f>IF(OR(G156="",J156=""),"",G156-L156-J156-K156-Settings!$B$6)</f>
        <v/>
      </c>
      <c r="N156">
        <f>IF(M156="","",IF(H156="Y","OK",IF(M156&gt;=Settings!$B$8,"MATCH","HOLD")))</f>
        <v/>
      </c>
    </row>
    <row r="157">
      <c r="E157">
        <f>IF(D157="","",Settings!$B$6)</f>
        <v/>
      </c>
      <c r="F157">
        <f>IF(D157="","",D157+E157)</f>
        <v/>
      </c>
      <c r="I157">
        <f>IF(G157="","",G157-Settings!$B$6)</f>
        <v/>
      </c>
      <c r="K157">
        <f>IF(J157="","",IF(J157&lt;Settings!$B$5,Settings!$B$3,Settings!$B$4))</f>
        <v/>
      </c>
      <c r="L157">
        <f>IF(G157="","",G157*Settings!$B$2)</f>
        <v/>
      </c>
      <c r="M157">
        <f>IF(OR(G157="",J157=""),"",G157-L157-J157-K157-Settings!$B$6)</f>
        <v/>
      </c>
      <c r="N157">
        <f>IF(M157="","",IF(H157="Y","OK",IF(M157&gt;=Settings!$B$8,"MATCH","HOLD")))</f>
        <v/>
      </c>
    </row>
    <row r="158">
      <c r="E158">
        <f>IF(D158="","",Settings!$B$6)</f>
        <v/>
      </c>
      <c r="F158">
        <f>IF(D158="","",D158+E158)</f>
        <v/>
      </c>
      <c r="I158">
        <f>IF(G158="","",G158-Settings!$B$6)</f>
        <v/>
      </c>
      <c r="K158">
        <f>IF(J158="","",IF(J158&lt;Settings!$B$5,Settings!$B$3,Settings!$B$4))</f>
        <v/>
      </c>
      <c r="L158">
        <f>IF(G158="","",G158*Settings!$B$2)</f>
        <v/>
      </c>
      <c r="M158">
        <f>IF(OR(G158="",J158=""),"",G158-L158-J158-K158-Settings!$B$6)</f>
        <v/>
      </c>
      <c r="N158">
        <f>IF(M158="","",IF(H158="Y","OK",IF(M158&gt;=Settings!$B$8,"MATCH","HOLD")))</f>
        <v/>
      </c>
    </row>
    <row r="159">
      <c r="E159">
        <f>IF(D159="","",Settings!$B$6)</f>
        <v/>
      </c>
      <c r="F159">
        <f>IF(D159="","",D159+E159)</f>
        <v/>
      </c>
      <c r="I159">
        <f>IF(G159="","",G159-Settings!$B$6)</f>
        <v/>
      </c>
      <c r="K159">
        <f>IF(J159="","",IF(J159&lt;Settings!$B$5,Settings!$B$3,Settings!$B$4))</f>
        <v/>
      </c>
      <c r="L159">
        <f>IF(G159="","",G159*Settings!$B$2)</f>
        <v/>
      </c>
      <c r="M159">
        <f>IF(OR(G159="",J159=""),"",G159-L159-J159-K159-Settings!$B$6)</f>
        <v/>
      </c>
      <c r="N159">
        <f>IF(M159="","",IF(H159="Y","OK",IF(M159&gt;=Settings!$B$8,"MATCH","HOLD")))</f>
        <v/>
      </c>
    </row>
    <row r="160">
      <c r="E160">
        <f>IF(D160="","",Settings!$B$6)</f>
        <v/>
      </c>
      <c r="F160">
        <f>IF(D160="","",D160+E160)</f>
        <v/>
      </c>
      <c r="I160">
        <f>IF(G160="","",G160-Settings!$B$6)</f>
        <v/>
      </c>
      <c r="K160">
        <f>IF(J160="","",IF(J160&lt;Settings!$B$5,Settings!$B$3,Settings!$B$4))</f>
        <v/>
      </c>
      <c r="L160">
        <f>IF(G160="","",G160*Settings!$B$2)</f>
        <v/>
      </c>
      <c r="M160">
        <f>IF(OR(G160="",J160=""),"",G160-L160-J160-K160-Settings!$B$6)</f>
        <v/>
      </c>
      <c r="N160">
        <f>IF(M160="","",IF(H160="Y","OK",IF(M160&gt;=Settings!$B$8,"MATCH","HOLD")))</f>
        <v/>
      </c>
    </row>
    <row r="161">
      <c r="E161">
        <f>IF(D161="","",Settings!$B$6)</f>
        <v/>
      </c>
      <c r="F161">
        <f>IF(D161="","",D161+E161)</f>
        <v/>
      </c>
      <c r="I161">
        <f>IF(G161="","",G161-Settings!$B$6)</f>
        <v/>
      </c>
      <c r="K161">
        <f>IF(J161="","",IF(J161&lt;Settings!$B$5,Settings!$B$3,Settings!$B$4))</f>
        <v/>
      </c>
      <c r="L161">
        <f>IF(G161="","",G161*Settings!$B$2)</f>
        <v/>
      </c>
      <c r="M161">
        <f>IF(OR(G161="",J161=""),"",G161-L161-J161-K161-Settings!$B$6)</f>
        <v/>
      </c>
      <c r="N161">
        <f>IF(M161="","",IF(H161="Y","OK",IF(M161&gt;=Settings!$B$8,"MATCH","HOLD")))</f>
        <v/>
      </c>
    </row>
    <row r="162">
      <c r="E162">
        <f>IF(D162="","",Settings!$B$6)</f>
        <v/>
      </c>
      <c r="F162">
        <f>IF(D162="","",D162+E162)</f>
        <v/>
      </c>
      <c r="I162">
        <f>IF(G162="","",G162-Settings!$B$6)</f>
        <v/>
      </c>
      <c r="K162">
        <f>IF(J162="","",IF(J162&lt;Settings!$B$5,Settings!$B$3,Settings!$B$4))</f>
        <v/>
      </c>
      <c r="L162">
        <f>IF(G162="","",G162*Settings!$B$2)</f>
        <v/>
      </c>
      <c r="M162">
        <f>IF(OR(G162="",J162=""),"",G162-L162-J162-K162-Settings!$B$6)</f>
        <v/>
      </c>
      <c r="N162">
        <f>IF(M162="","",IF(H162="Y","OK",IF(M162&gt;=Settings!$B$8,"MATCH","HOLD")))</f>
        <v/>
      </c>
    </row>
    <row r="163">
      <c r="E163">
        <f>IF(D163="","",Settings!$B$6)</f>
        <v/>
      </c>
      <c r="F163">
        <f>IF(D163="","",D163+E163)</f>
        <v/>
      </c>
      <c r="I163">
        <f>IF(G163="","",G163-Settings!$B$6)</f>
        <v/>
      </c>
      <c r="K163">
        <f>IF(J163="","",IF(J163&lt;Settings!$B$5,Settings!$B$3,Settings!$B$4))</f>
        <v/>
      </c>
      <c r="L163">
        <f>IF(G163="","",G163*Settings!$B$2)</f>
        <v/>
      </c>
      <c r="M163">
        <f>IF(OR(G163="",J163=""),"",G163-L163-J163-K163-Settings!$B$6)</f>
        <v/>
      </c>
      <c r="N163">
        <f>IF(M163="","",IF(H163="Y","OK",IF(M163&gt;=Settings!$B$8,"MATCH","HOLD")))</f>
        <v/>
      </c>
    </row>
    <row r="164">
      <c r="E164">
        <f>IF(D164="","",Settings!$B$6)</f>
        <v/>
      </c>
      <c r="F164">
        <f>IF(D164="","",D164+E164)</f>
        <v/>
      </c>
      <c r="I164">
        <f>IF(G164="","",G164-Settings!$B$6)</f>
        <v/>
      </c>
      <c r="K164">
        <f>IF(J164="","",IF(J164&lt;Settings!$B$5,Settings!$B$3,Settings!$B$4))</f>
        <v/>
      </c>
      <c r="L164">
        <f>IF(G164="","",G164*Settings!$B$2)</f>
        <v/>
      </c>
      <c r="M164">
        <f>IF(OR(G164="",J164=""),"",G164-L164-J164-K164-Settings!$B$6)</f>
        <v/>
      </c>
      <c r="N164">
        <f>IF(M164="","",IF(H164="Y","OK",IF(M164&gt;=Settings!$B$8,"MATCH","HOLD")))</f>
        <v/>
      </c>
    </row>
    <row r="165">
      <c r="E165">
        <f>IF(D165="","",Settings!$B$6)</f>
        <v/>
      </c>
      <c r="F165">
        <f>IF(D165="","",D165+E165)</f>
        <v/>
      </c>
      <c r="I165">
        <f>IF(G165="","",G165-Settings!$B$6)</f>
        <v/>
      </c>
      <c r="K165">
        <f>IF(J165="","",IF(J165&lt;Settings!$B$5,Settings!$B$3,Settings!$B$4))</f>
        <v/>
      </c>
      <c r="L165">
        <f>IF(G165="","",G165*Settings!$B$2)</f>
        <v/>
      </c>
      <c r="M165">
        <f>IF(OR(G165="",J165=""),"",G165-L165-J165-K165-Settings!$B$6)</f>
        <v/>
      </c>
      <c r="N165">
        <f>IF(M165="","",IF(H165="Y","OK",IF(M165&gt;=Settings!$B$8,"MATCH","HOLD")))</f>
        <v/>
      </c>
    </row>
    <row r="166">
      <c r="E166">
        <f>IF(D166="","",Settings!$B$6)</f>
        <v/>
      </c>
      <c r="F166">
        <f>IF(D166="","",D166+E166)</f>
        <v/>
      </c>
      <c r="I166">
        <f>IF(G166="","",G166-Settings!$B$6)</f>
        <v/>
      </c>
      <c r="K166">
        <f>IF(J166="","",IF(J166&lt;Settings!$B$5,Settings!$B$3,Settings!$B$4))</f>
        <v/>
      </c>
      <c r="L166">
        <f>IF(G166="","",G166*Settings!$B$2)</f>
        <v/>
      </c>
      <c r="M166">
        <f>IF(OR(G166="",J166=""),"",G166-L166-J166-K166-Settings!$B$6)</f>
        <v/>
      </c>
      <c r="N166">
        <f>IF(M166="","",IF(H166="Y","OK",IF(M166&gt;=Settings!$B$8,"MATCH","HOLD")))</f>
        <v/>
      </c>
    </row>
    <row r="167">
      <c r="E167">
        <f>IF(D167="","",Settings!$B$6)</f>
        <v/>
      </c>
      <c r="F167">
        <f>IF(D167="","",D167+E167)</f>
        <v/>
      </c>
      <c r="I167">
        <f>IF(G167="","",G167-Settings!$B$6)</f>
        <v/>
      </c>
      <c r="K167">
        <f>IF(J167="","",IF(J167&lt;Settings!$B$5,Settings!$B$3,Settings!$B$4))</f>
        <v/>
      </c>
      <c r="L167">
        <f>IF(G167="","",G167*Settings!$B$2)</f>
        <v/>
      </c>
      <c r="M167">
        <f>IF(OR(G167="",J167=""),"",G167-L167-J167-K167-Settings!$B$6)</f>
        <v/>
      </c>
      <c r="N167">
        <f>IF(M167="","",IF(H167="Y","OK",IF(M167&gt;=Settings!$B$8,"MATCH","HOLD")))</f>
        <v/>
      </c>
    </row>
    <row r="168">
      <c r="E168">
        <f>IF(D168="","",Settings!$B$6)</f>
        <v/>
      </c>
      <c r="F168">
        <f>IF(D168="","",D168+E168)</f>
        <v/>
      </c>
      <c r="I168">
        <f>IF(G168="","",G168-Settings!$B$6)</f>
        <v/>
      </c>
      <c r="K168">
        <f>IF(J168="","",IF(J168&lt;Settings!$B$5,Settings!$B$3,Settings!$B$4))</f>
        <v/>
      </c>
      <c r="L168">
        <f>IF(G168="","",G168*Settings!$B$2)</f>
        <v/>
      </c>
      <c r="M168">
        <f>IF(OR(G168="",J168=""),"",G168-L168-J168-K168-Settings!$B$6)</f>
        <v/>
      </c>
      <c r="N168">
        <f>IF(M168="","",IF(H168="Y","OK",IF(M168&gt;=Settings!$B$8,"MATCH","HOLD")))</f>
        <v/>
      </c>
    </row>
    <row r="169">
      <c r="E169">
        <f>IF(D169="","",Settings!$B$6)</f>
        <v/>
      </c>
      <c r="F169">
        <f>IF(D169="","",D169+E169)</f>
        <v/>
      </c>
      <c r="I169">
        <f>IF(G169="","",G169-Settings!$B$6)</f>
        <v/>
      </c>
      <c r="K169">
        <f>IF(J169="","",IF(J169&lt;Settings!$B$5,Settings!$B$3,Settings!$B$4))</f>
        <v/>
      </c>
      <c r="L169">
        <f>IF(G169="","",G169*Settings!$B$2)</f>
        <v/>
      </c>
      <c r="M169">
        <f>IF(OR(G169="",J169=""),"",G169-L169-J169-K169-Settings!$B$6)</f>
        <v/>
      </c>
      <c r="N169">
        <f>IF(M169="","",IF(H169="Y","OK",IF(M169&gt;=Settings!$B$8,"MATCH","HOLD")))</f>
        <v/>
      </c>
    </row>
    <row r="170">
      <c r="E170">
        <f>IF(D170="","",Settings!$B$6)</f>
        <v/>
      </c>
      <c r="F170">
        <f>IF(D170="","",D170+E170)</f>
        <v/>
      </c>
      <c r="I170">
        <f>IF(G170="","",G170-Settings!$B$6)</f>
        <v/>
      </c>
      <c r="K170">
        <f>IF(J170="","",IF(J170&lt;Settings!$B$5,Settings!$B$3,Settings!$B$4))</f>
        <v/>
      </c>
      <c r="L170">
        <f>IF(G170="","",G170*Settings!$B$2)</f>
        <v/>
      </c>
      <c r="M170">
        <f>IF(OR(G170="",J170=""),"",G170-L170-J170-K170-Settings!$B$6)</f>
        <v/>
      </c>
      <c r="N170">
        <f>IF(M170="","",IF(H170="Y","OK",IF(M170&gt;=Settings!$B$8,"MATCH","HOLD")))</f>
        <v/>
      </c>
    </row>
    <row r="171">
      <c r="E171">
        <f>IF(D171="","",Settings!$B$6)</f>
        <v/>
      </c>
      <c r="F171">
        <f>IF(D171="","",D171+E171)</f>
        <v/>
      </c>
      <c r="I171">
        <f>IF(G171="","",G171-Settings!$B$6)</f>
        <v/>
      </c>
      <c r="K171">
        <f>IF(J171="","",IF(J171&lt;Settings!$B$5,Settings!$B$3,Settings!$B$4))</f>
        <v/>
      </c>
      <c r="L171">
        <f>IF(G171="","",G171*Settings!$B$2)</f>
        <v/>
      </c>
      <c r="M171">
        <f>IF(OR(G171="",J171=""),"",G171-L171-J171-K171-Settings!$B$6)</f>
        <v/>
      </c>
      <c r="N171">
        <f>IF(M171="","",IF(H171="Y","OK",IF(M171&gt;=Settings!$B$8,"MATCH","HOLD")))</f>
        <v/>
      </c>
    </row>
    <row r="172">
      <c r="E172">
        <f>IF(D172="","",Settings!$B$6)</f>
        <v/>
      </c>
      <c r="F172">
        <f>IF(D172="","",D172+E172)</f>
        <v/>
      </c>
      <c r="I172">
        <f>IF(G172="","",G172-Settings!$B$6)</f>
        <v/>
      </c>
      <c r="K172">
        <f>IF(J172="","",IF(J172&lt;Settings!$B$5,Settings!$B$3,Settings!$B$4))</f>
        <v/>
      </c>
      <c r="L172">
        <f>IF(G172="","",G172*Settings!$B$2)</f>
        <v/>
      </c>
      <c r="M172">
        <f>IF(OR(G172="",J172=""),"",G172-L172-J172-K172-Settings!$B$6)</f>
        <v/>
      </c>
      <c r="N172">
        <f>IF(M172="","",IF(H172="Y","OK",IF(M172&gt;=Settings!$B$8,"MATCH","HOLD")))</f>
        <v/>
      </c>
    </row>
    <row r="173">
      <c r="E173">
        <f>IF(D173="","",Settings!$B$6)</f>
        <v/>
      </c>
      <c r="F173">
        <f>IF(D173="","",D173+E173)</f>
        <v/>
      </c>
      <c r="I173">
        <f>IF(G173="","",G173-Settings!$B$6)</f>
        <v/>
      </c>
      <c r="K173">
        <f>IF(J173="","",IF(J173&lt;Settings!$B$5,Settings!$B$3,Settings!$B$4))</f>
        <v/>
      </c>
      <c r="L173">
        <f>IF(G173="","",G173*Settings!$B$2)</f>
        <v/>
      </c>
      <c r="M173">
        <f>IF(OR(G173="",J173=""),"",G173-L173-J173-K173-Settings!$B$6)</f>
        <v/>
      </c>
      <c r="N173">
        <f>IF(M173="","",IF(H173="Y","OK",IF(M173&gt;=Settings!$B$8,"MATCH","HOLD")))</f>
        <v/>
      </c>
    </row>
    <row r="174">
      <c r="E174">
        <f>IF(D174="","",Settings!$B$6)</f>
        <v/>
      </c>
      <c r="F174">
        <f>IF(D174="","",D174+E174)</f>
        <v/>
      </c>
      <c r="I174">
        <f>IF(G174="","",G174-Settings!$B$6)</f>
        <v/>
      </c>
      <c r="K174">
        <f>IF(J174="","",IF(J174&lt;Settings!$B$5,Settings!$B$3,Settings!$B$4))</f>
        <v/>
      </c>
      <c r="L174">
        <f>IF(G174="","",G174*Settings!$B$2)</f>
        <v/>
      </c>
      <c r="M174">
        <f>IF(OR(G174="",J174=""),"",G174-L174-J174-K174-Settings!$B$6)</f>
        <v/>
      </c>
      <c r="N174">
        <f>IF(M174="","",IF(H174="Y","OK",IF(M174&gt;=Settings!$B$8,"MATCH","HOLD")))</f>
        <v/>
      </c>
    </row>
    <row r="175">
      <c r="E175">
        <f>IF(D175="","",Settings!$B$6)</f>
        <v/>
      </c>
      <c r="F175">
        <f>IF(D175="","",D175+E175)</f>
        <v/>
      </c>
      <c r="I175">
        <f>IF(G175="","",G175-Settings!$B$6)</f>
        <v/>
      </c>
      <c r="K175">
        <f>IF(J175="","",IF(J175&lt;Settings!$B$5,Settings!$B$3,Settings!$B$4))</f>
        <v/>
      </c>
      <c r="L175">
        <f>IF(G175="","",G175*Settings!$B$2)</f>
        <v/>
      </c>
      <c r="M175">
        <f>IF(OR(G175="",J175=""),"",G175-L175-J175-K175-Settings!$B$6)</f>
        <v/>
      </c>
      <c r="N175">
        <f>IF(M175="","",IF(H175="Y","OK",IF(M175&gt;=Settings!$B$8,"MATCH","HOLD")))</f>
        <v/>
      </c>
    </row>
    <row r="176">
      <c r="E176">
        <f>IF(D176="","",Settings!$B$6)</f>
        <v/>
      </c>
      <c r="F176">
        <f>IF(D176="","",D176+E176)</f>
        <v/>
      </c>
      <c r="I176">
        <f>IF(G176="","",G176-Settings!$B$6)</f>
        <v/>
      </c>
      <c r="K176">
        <f>IF(J176="","",IF(J176&lt;Settings!$B$5,Settings!$B$3,Settings!$B$4))</f>
        <v/>
      </c>
      <c r="L176">
        <f>IF(G176="","",G176*Settings!$B$2)</f>
        <v/>
      </c>
      <c r="M176">
        <f>IF(OR(G176="",J176=""),"",G176-L176-J176-K176-Settings!$B$6)</f>
        <v/>
      </c>
      <c r="N176">
        <f>IF(M176="","",IF(H176="Y","OK",IF(M176&gt;=Settings!$B$8,"MATCH","HOLD")))</f>
        <v/>
      </c>
    </row>
    <row r="177">
      <c r="E177">
        <f>IF(D177="","",Settings!$B$6)</f>
        <v/>
      </c>
      <c r="F177">
        <f>IF(D177="","",D177+E177)</f>
        <v/>
      </c>
      <c r="I177">
        <f>IF(G177="","",G177-Settings!$B$6)</f>
        <v/>
      </c>
      <c r="K177">
        <f>IF(J177="","",IF(J177&lt;Settings!$B$5,Settings!$B$3,Settings!$B$4))</f>
        <v/>
      </c>
      <c r="L177">
        <f>IF(G177="","",G177*Settings!$B$2)</f>
        <v/>
      </c>
      <c r="M177">
        <f>IF(OR(G177="",J177=""),"",G177-L177-J177-K177-Settings!$B$6)</f>
        <v/>
      </c>
      <c r="N177">
        <f>IF(M177="","",IF(H177="Y","OK",IF(M177&gt;=Settings!$B$8,"MATCH","HOLD")))</f>
        <v/>
      </c>
    </row>
    <row r="178">
      <c r="E178">
        <f>IF(D178="","",Settings!$B$6)</f>
        <v/>
      </c>
      <c r="F178">
        <f>IF(D178="","",D178+E178)</f>
        <v/>
      </c>
      <c r="I178">
        <f>IF(G178="","",G178-Settings!$B$6)</f>
        <v/>
      </c>
      <c r="K178">
        <f>IF(J178="","",IF(J178&lt;Settings!$B$5,Settings!$B$3,Settings!$B$4))</f>
        <v/>
      </c>
      <c r="L178">
        <f>IF(G178="","",G178*Settings!$B$2)</f>
        <v/>
      </c>
      <c r="M178">
        <f>IF(OR(G178="",J178=""),"",G178-L178-J178-K178-Settings!$B$6)</f>
        <v/>
      </c>
      <c r="N178">
        <f>IF(M178="","",IF(H178="Y","OK",IF(M178&gt;=Settings!$B$8,"MATCH","HOLD")))</f>
        <v/>
      </c>
    </row>
    <row r="179">
      <c r="E179">
        <f>IF(D179="","",Settings!$B$6)</f>
        <v/>
      </c>
      <c r="F179">
        <f>IF(D179="","",D179+E179)</f>
        <v/>
      </c>
      <c r="I179">
        <f>IF(G179="","",G179-Settings!$B$6)</f>
        <v/>
      </c>
      <c r="K179">
        <f>IF(J179="","",IF(J179&lt;Settings!$B$5,Settings!$B$3,Settings!$B$4))</f>
        <v/>
      </c>
      <c r="L179">
        <f>IF(G179="","",G179*Settings!$B$2)</f>
        <v/>
      </c>
      <c r="M179">
        <f>IF(OR(G179="",J179=""),"",G179-L179-J179-K179-Settings!$B$6)</f>
        <v/>
      </c>
      <c r="N179">
        <f>IF(M179="","",IF(H179="Y","OK",IF(M179&gt;=Settings!$B$8,"MATCH","HOLD")))</f>
        <v/>
      </c>
    </row>
    <row r="180">
      <c r="E180">
        <f>IF(D180="","",Settings!$B$6)</f>
        <v/>
      </c>
      <c r="F180">
        <f>IF(D180="","",D180+E180)</f>
        <v/>
      </c>
      <c r="I180">
        <f>IF(G180="","",G180-Settings!$B$6)</f>
        <v/>
      </c>
      <c r="K180">
        <f>IF(J180="","",IF(J180&lt;Settings!$B$5,Settings!$B$3,Settings!$B$4))</f>
        <v/>
      </c>
      <c r="L180">
        <f>IF(G180="","",G180*Settings!$B$2)</f>
        <v/>
      </c>
      <c r="M180">
        <f>IF(OR(G180="",J180=""),"",G180-L180-J180-K180-Settings!$B$6)</f>
        <v/>
      </c>
      <c r="N180">
        <f>IF(M180="","",IF(H180="Y","OK",IF(M180&gt;=Settings!$B$8,"MATCH","HOLD")))</f>
        <v/>
      </c>
    </row>
    <row r="181">
      <c r="E181">
        <f>IF(D181="","",Settings!$B$6)</f>
        <v/>
      </c>
      <c r="F181">
        <f>IF(D181="","",D181+E181)</f>
        <v/>
      </c>
      <c r="I181">
        <f>IF(G181="","",G181-Settings!$B$6)</f>
        <v/>
      </c>
      <c r="K181">
        <f>IF(J181="","",IF(J181&lt;Settings!$B$5,Settings!$B$3,Settings!$B$4))</f>
        <v/>
      </c>
      <c r="L181">
        <f>IF(G181="","",G181*Settings!$B$2)</f>
        <v/>
      </c>
      <c r="M181">
        <f>IF(OR(G181="",J181=""),"",G181-L181-J181-K181-Settings!$B$6)</f>
        <v/>
      </c>
      <c r="N181">
        <f>IF(M181="","",IF(H181="Y","OK",IF(M181&gt;=Settings!$B$8,"MATCH","HOLD")))</f>
        <v/>
      </c>
    </row>
    <row r="182">
      <c r="E182">
        <f>IF(D182="","",Settings!$B$6)</f>
        <v/>
      </c>
      <c r="F182">
        <f>IF(D182="","",D182+E182)</f>
        <v/>
      </c>
      <c r="I182">
        <f>IF(G182="","",G182-Settings!$B$6)</f>
        <v/>
      </c>
      <c r="K182">
        <f>IF(J182="","",IF(J182&lt;Settings!$B$5,Settings!$B$3,Settings!$B$4))</f>
        <v/>
      </c>
      <c r="L182">
        <f>IF(G182="","",G182*Settings!$B$2)</f>
        <v/>
      </c>
      <c r="M182">
        <f>IF(OR(G182="",J182=""),"",G182-L182-J182-K182-Settings!$B$6)</f>
        <v/>
      </c>
      <c r="N182">
        <f>IF(M182="","",IF(H182="Y","OK",IF(M182&gt;=Settings!$B$8,"MATCH","HOLD")))</f>
        <v/>
      </c>
    </row>
    <row r="183">
      <c r="E183">
        <f>IF(D183="","",Settings!$B$6)</f>
        <v/>
      </c>
      <c r="F183">
        <f>IF(D183="","",D183+E183)</f>
        <v/>
      </c>
      <c r="I183">
        <f>IF(G183="","",G183-Settings!$B$6)</f>
        <v/>
      </c>
      <c r="K183">
        <f>IF(J183="","",IF(J183&lt;Settings!$B$5,Settings!$B$3,Settings!$B$4))</f>
        <v/>
      </c>
      <c r="L183">
        <f>IF(G183="","",G183*Settings!$B$2)</f>
        <v/>
      </c>
      <c r="M183">
        <f>IF(OR(G183="",J183=""),"",G183-L183-J183-K183-Settings!$B$6)</f>
        <v/>
      </c>
      <c r="N183">
        <f>IF(M183="","",IF(H183="Y","OK",IF(M183&gt;=Settings!$B$8,"MATCH","HOLD")))</f>
        <v/>
      </c>
    </row>
    <row r="184">
      <c r="E184">
        <f>IF(D184="","",Settings!$B$6)</f>
        <v/>
      </c>
      <c r="F184">
        <f>IF(D184="","",D184+E184)</f>
        <v/>
      </c>
      <c r="I184">
        <f>IF(G184="","",G184-Settings!$B$6)</f>
        <v/>
      </c>
      <c r="K184">
        <f>IF(J184="","",IF(J184&lt;Settings!$B$5,Settings!$B$3,Settings!$B$4))</f>
        <v/>
      </c>
      <c r="L184">
        <f>IF(G184="","",G184*Settings!$B$2)</f>
        <v/>
      </c>
      <c r="M184">
        <f>IF(OR(G184="",J184=""),"",G184-L184-J184-K184-Settings!$B$6)</f>
        <v/>
      </c>
      <c r="N184">
        <f>IF(M184="","",IF(H184="Y","OK",IF(M184&gt;=Settings!$B$8,"MATCH","HOLD")))</f>
        <v/>
      </c>
    </row>
    <row r="185">
      <c r="E185">
        <f>IF(D185="","",Settings!$B$6)</f>
        <v/>
      </c>
      <c r="F185">
        <f>IF(D185="","",D185+E185)</f>
        <v/>
      </c>
      <c r="I185">
        <f>IF(G185="","",G185-Settings!$B$6)</f>
        <v/>
      </c>
      <c r="K185">
        <f>IF(J185="","",IF(J185&lt;Settings!$B$5,Settings!$B$3,Settings!$B$4))</f>
        <v/>
      </c>
      <c r="L185">
        <f>IF(G185="","",G185*Settings!$B$2)</f>
        <v/>
      </c>
      <c r="M185">
        <f>IF(OR(G185="",J185=""),"",G185-L185-J185-K185-Settings!$B$6)</f>
        <v/>
      </c>
      <c r="N185">
        <f>IF(M185="","",IF(H185="Y","OK",IF(M185&gt;=Settings!$B$8,"MATCH","HOLD")))</f>
        <v/>
      </c>
    </row>
    <row r="186">
      <c r="E186">
        <f>IF(D186="","",Settings!$B$6)</f>
        <v/>
      </c>
      <c r="F186">
        <f>IF(D186="","",D186+E186)</f>
        <v/>
      </c>
      <c r="I186">
        <f>IF(G186="","",G186-Settings!$B$6)</f>
        <v/>
      </c>
      <c r="K186">
        <f>IF(J186="","",IF(J186&lt;Settings!$B$5,Settings!$B$3,Settings!$B$4))</f>
        <v/>
      </c>
      <c r="L186">
        <f>IF(G186="","",G186*Settings!$B$2)</f>
        <v/>
      </c>
      <c r="M186">
        <f>IF(OR(G186="",J186=""),"",G186-L186-J186-K186-Settings!$B$6)</f>
        <v/>
      </c>
      <c r="N186">
        <f>IF(M186="","",IF(H186="Y","OK",IF(M186&gt;=Settings!$B$8,"MATCH","HOLD")))</f>
        <v/>
      </c>
    </row>
    <row r="187">
      <c r="E187">
        <f>IF(D187="","",Settings!$B$6)</f>
        <v/>
      </c>
      <c r="F187">
        <f>IF(D187="","",D187+E187)</f>
        <v/>
      </c>
      <c r="I187">
        <f>IF(G187="","",G187-Settings!$B$6)</f>
        <v/>
      </c>
      <c r="K187">
        <f>IF(J187="","",IF(J187&lt;Settings!$B$5,Settings!$B$3,Settings!$B$4))</f>
        <v/>
      </c>
      <c r="L187">
        <f>IF(G187="","",G187*Settings!$B$2)</f>
        <v/>
      </c>
      <c r="M187">
        <f>IF(OR(G187="",J187=""),"",G187-L187-J187-K187-Settings!$B$6)</f>
        <v/>
      </c>
      <c r="N187">
        <f>IF(M187="","",IF(H187="Y","OK",IF(M187&gt;=Settings!$B$8,"MATCH","HOLD")))</f>
        <v/>
      </c>
    </row>
    <row r="188">
      <c r="E188">
        <f>IF(D188="","",Settings!$B$6)</f>
        <v/>
      </c>
      <c r="F188">
        <f>IF(D188="","",D188+E188)</f>
        <v/>
      </c>
      <c r="I188">
        <f>IF(G188="","",G188-Settings!$B$6)</f>
        <v/>
      </c>
      <c r="K188">
        <f>IF(J188="","",IF(J188&lt;Settings!$B$5,Settings!$B$3,Settings!$B$4))</f>
        <v/>
      </c>
      <c r="L188">
        <f>IF(G188="","",G188*Settings!$B$2)</f>
        <v/>
      </c>
      <c r="M188">
        <f>IF(OR(G188="",J188=""),"",G188-L188-J188-K188-Settings!$B$6)</f>
        <v/>
      </c>
      <c r="N188">
        <f>IF(M188="","",IF(H188="Y","OK",IF(M188&gt;=Settings!$B$8,"MATCH","HOLD")))</f>
        <v/>
      </c>
    </row>
    <row r="189">
      <c r="E189">
        <f>IF(D189="","",Settings!$B$6)</f>
        <v/>
      </c>
      <c r="F189">
        <f>IF(D189="","",D189+E189)</f>
        <v/>
      </c>
      <c r="I189">
        <f>IF(G189="","",G189-Settings!$B$6)</f>
        <v/>
      </c>
      <c r="K189">
        <f>IF(J189="","",IF(J189&lt;Settings!$B$5,Settings!$B$3,Settings!$B$4))</f>
        <v/>
      </c>
      <c r="L189">
        <f>IF(G189="","",G189*Settings!$B$2)</f>
        <v/>
      </c>
      <c r="M189">
        <f>IF(OR(G189="",J189=""),"",G189-L189-J189-K189-Settings!$B$6)</f>
        <v/>
      </c>
      <c r="N189">
        <f>IF(M189="","",IF(H189="Y","OK",IF(M189&gt;=Settings!$B$8,"MATCH","HOLD")))</f>
        <v/>
      </c>
    </row>
    <row r="190">
      <c r="E190">
        <f>IF(D190="","",Settings!$B$6)</f>
        <v/>
      </c>
      <c r="F190">
        <f>IF(D190="","",D190+E190)</f>
        <v/>
      </c>
      <c r="I190">
        <f>IF(G190="","",G190-Settings!$B$6)</f>
        <v/>
      </c>
      <c r="K190">
        <f>IF(J190="","",IF(J190&lt;Settings!$B$5,Settings!$B$3,Settings!$B$4))</f>
        <v/>
      </c>
      <c r="L190">
        <f>IF(G190="","",G190*Settings!$B$2)</f>
        <v/>
      </c>
      <c r="M190">
        <f>IF(OR(G190="",J190=""),"",G190-L190-J190-K190-Settings!$B$6)</f>
        <v/>
      </c>
      <c r="N190">
        <f>IF(M190="","",IF(H190="Y","OK",IF(M190&gt;=Settings!$B$8,"MATCH","HOLD")))</f>
        <v/>
      </c>
    </row>
    <row r="191">
      <c r="E191">
        <f>IF(D191="","",Settings!$B$6)</f>
        <v/>
      </c>
      <c r="F191">
        <f>IF(D191="","",D191+E191)</f>
        <v/>
      </c>
      <c r="I191">
        <f>IF(G191="","",G191-Settings!$B$6)</f>
        <v/>
      </c>
      <c r="K191">
        <f>IF(J191="","",IF(J191&lt;Settings!$B$5,Settings!$B$3,Settings!$B$4))</f>
        <v/>
      </c>
      <c r="L191">
        <f>IF(G191="","",G191*Settings!$B$2)</f>
        <v/>
      </c>
      <c r="M191">
        <f>IF(OR(G191="",J191=""),"",G191-L191-J191-K191-Settings!$B$6)</f>
        <v/>
      </c>
      <c r="N191">
        <f>IF(M191="","",IF(H191="Y","OK",IF(M191&gt;=Settings!$B$8,"MATCH","HOLD")))</f>
        <v/>
      </c>
    </row>
    <row r="192">
      <c r="E192">
        <f>IF(D192="","",Settings!$B$6)</f>
        <v/>
      </c>
      <c r="F192">
        <f>IF(D192="","",D192+E192)</f>
        <v/>
      </c>
      <c r="I192">
        <f>IF(G192="","",G192-Settings!$B$6)</f>
        <v/>
      </c>
      <c r="K192">
        <f>IF(J192="","",IF(J192&lt;Settings!$B$5,Settings!$B$3,Settings!$B$4))</f>
        <v/>
      </c>
      <c r="L192">
        <f>IF(G192="","",G192*Settings!$B$2)</f>
        <v/>
      </c>
      <c r="M192">
        <f>IF(OR(G192="",J192=""),"",G192-L192-J192-K192-Settings!$B$6)</f>
        <v/>
      </c>
      <c r="N192">
        <f>IF(M192="","",IF(H192="Y","OK",IF(M192&gt;=Settings!$B$8,"MATCH","HOLD")))</f>
        <v/>
      </c>
    </row>
    <row r="193">
      <c r="E193">
        <f>IF(D193="","",Settings!$B$6)</f>
        <v/>
      </c>
      <c r="F193">
        <f>IF(D193="","",D193+E193)</f>
        <v/>
      </c>
      <c r="I193">
        <f>IF(G193="","",G193-Settings!$B$6)</f>
        <v/>
      </c>
      <c r="K193">
        <f>IF(J193="","",IF(J193&lt;Settings!$B$5,Settings!$B$3,Settings!$B$4))</f>
        <v/>
      </c>
      <c r="L193">
        <f>IF(G193="","",G193*Settings!$B$2)</f>
        <v/>
      </c>
      <c r="M193">
        <f>IF(OR(G193="",J193=""),"",G193-L193-J193-K193-Settings!$B$6)</f>
        <v/>
      </c>
      <c r="N193">
        <f>IF(M193="","",IF(H193="Y","OK",IF(M193&gt;=Settings!$B$8,"MATCH","HOLD")))</f>
        <v/>
      </c>
    </row>
    <row r="194">
      <c r="E194">
        <f>IF(D194="","",Settings!$B$6)</f>
        <v/>
      </c>
      <c r="F194">
        <f>IF(D194="","",D194+E194)</f>
        <v/>
      </c>
      <c r="I194">
        <f>IF(G194="","",G194-Settings!$B$6)</f>
        <v/>
      </c>
      <c r="K194">
        <f>IF(J194="","",IF(J194&lt;Settings!$B$5,Settings!$B$3,Settings!$B$4))</f>
        <v/>
      </c>
      <c r="L194">
        <f>IF(G194="","",G194*Settings!$B$2)</f>
        <v/>
      </c>
      <c r="M194">
        <f>IF(OR(G194="",J194=""),"",G194-L194-J194-K194-Settings!$B$6)</f>
        <v/>
      </c>
      <c r="N194">
        <f>IF(M194="","",IF(H194="Y","OK",IF(M194&gt;=Settings!$B$8,"MATCH","HOLD")))</f>
        <v/>
      </c>
    </row>
    <row r="195">
      <c r="E195">
        <f>IF(D195="","",Settings!$B$6)</f>
        <v/>
      </c>
      <c r="F195">
        <f>IF(D195="","",D195+E195)</f>
        <v/>
      </c>
      <c r="I195">
        <f>IF(G195="","",G195-Settings!$B$6)</f>
        <v/>
      </c>
      <c r="K195">
        <f>IF(J195="","",IF(J195&lt;Settings!$B$5,Settings!$B$3,Settings!$B$4))</f>
        <v/>
      </c>
      <c r="L195">
        <f>IF(G195="","",G195*Settings!$B$2)</f>
        <v/>
      </c>
      <c r="M195">
        <f>IF(OR(G195="",J195=""),"",G195-L195-J195-K195-Settings!$B$6)</f>
        <v/>
      </c>
      <c r="N195">
        <f>IF(M195="","",IF(H195="Y","OK",IF(M195&gt;=Settings!$B$8,"MATCH","HOLD")))</f>
        <v/>
      </c>
    </row>
    <row r="196">
      <c r="E196">
        <f>IF(D196="","",Settings!$B$6)</f>
        <v/>
      </c>
      <c r="F196">
        <f>IF(D196="","",D196+E196)</f>
        <v/>
      </c>
      <c r="I196">
        <f>IF(G196="","",G196-Settings!$B$6)</f>
        <v/>
      </c>
      <c r="K196">
        <f>IF(J196="","",IF(J196&lt;Settings!$B$5,Settings!$B$3,Settings!$B$4))</f>
        <v/>
      </c>
      <c r="L196">
        <f>IF(G196="","",G196*Settings!$B$2)</f>
        <v/>
      </c>
      <c r="M196">
        <f>IF(OR(G196="",J196=""),"",G196-L196-J196-K196-Settings!$B$6)</f>
        <v/>
      </c>
      <c r="N196">
        <f>IF(M196="","",IF(H196="Y","OK",IF(M196&gt;=Settings!$B$8,"MATCH","HOLD")))</f>
        <v/>
      </c>
    </row>
    <row r="197">
      <c r="E197">
        <f>IF(D197="","",Settings!$B$6)</f>
        <v/>
      </c>
      <c r="F197">
        <f>IF(D197="","",D197+E197)</f>
        <v/>
      </c>
      <c r="I197">
        <f>IF(G197="","",G197-Settings!$B$6)</f>
        <v/>
      </c>
      <c r="K197">
        <f>IF(J197="","",IF(J197&lt;Settings!$B$5,Settings!$B$3,Settings!$B$4))</f>
        <v/>
      </c>
      <c r="L197">
        <f>IF(G197="","",G197*Settings!$B$2)</f>
        <v/>
      </c>
      <c r="M197">
        <f>IF(OR(G197="",J197=""),"",G197-L197-J197-K197-Settings!$B$6)</f>
        <v/>
      </c>
      <c r="N197">
        <f>IF(M197="","",IF(H197="Y","OK",IF(M197&gt;=Settings!$B$8,"MATCH","HOLD")))</f>
        <v/>
      </c>
    </row>
    <row r="198">
      <c r="E198">
        <f>IF(D198="","",Settings!$B$6)</f>
        <v/>
      </c>
      <c r="F198">
        <f>IF(D198="","",D198+E198)</f>
        <v/>
      </c>
      <c r="I198">
        <f>IF(G198="","",G198-Settings!$B$6)</f>
        <v/>
      </c>
      <c r="K198">
        <f>IF(J198="","",IF(J198&lt;Settings!$B$5,Settings!$B$3,Settings!$B$4))</f>
        <v/>
      </c>
      <c r="L198">
        <f>IF(G198="","",G198*Settings!$B$2)</f>
        <v/>
      </c>
      <c r="M198">
        <f>IF(OR(G198="",J198=""),"",G198-L198-J198-K198-Settings!$B$6)</f>
        <v/>
      </c>
      <c r="N198">
        <f>IF(M198="","",IF(H198="Y","OK",IF(M198&gt;=Settings!$B$8,"MATCH","HOLD")))</f>
        <v/>
      </c>
    </row>
    <row r="199">
      <c r="E199">
        <f>IF(D199="","",Settings!$B$6)</f>
        <v/>
      </c>
      <c r="F199">
        <f>IF(D199="","",D199+E199)</f>
        <v/>
      </c>
      <c r="I199">
        <f>IF(G199="","",G199-Settings!$B$6)</f>
        <v/>
      </c>
      <c r="K199">
        <f>IF(J199="","",IF(J199&lt;Settings!$B$5,Settings!$B$3,Settings!$B$4))</f>
        <v/>
      </c>
      <c r="L199">
        <f>IF(G199="","",G199*Settings!$B$2)</f>
        <v/>
      </c>
      <c r="M199">
        <f>IF(OR(G199="",J199=""),"",G199-L199-J199-K199-Settings!$B$6)</f>
        <v/>
      </c>
      <c r="N199">
        <f>IF(M199="","",IF(H199="Y","OK",IF(M199&gt;=Settings!$B$8,"MATCH","HOLD")))</f>
        <v/>
      </c>
    </row>
    <row r="200">
      <c r="E200">
        <f>IF(D200="","",Settings!$B$6)</f>
        <v/>
      </c>
      <c r="F200">
        <f>IF(D200="","",D200+E200)</f>
        <v/>
      </c>
      <c r="I200">
        <f>IF(G200="","",G200-Settings!$B$6)</f>
        <v/>
      </c>
      <c r="K200">
        <f>IF(J200="","",IF(J200&lt;Settings!$B$5,Settings!$B$3,Settings!$B$4))</f>
        <v/>
      </c>
      <c r="L200">
        <f>IF(G200="","",G200*Settings!$B$2)</f>
        <v/>
      </c>
      <c r="M200">
        <f>IF(OR(G200="",J200=""),"",G200-L200-J200-K200-Settings!$B$6)</f>
        <v/>
      </c>
      <c r="N200">
        <f>IF(M200="","",IF(H200="Y","OK",IF(M200&gt;=Settings!$B$8,"MATCH","HOLD")))</f>
        <v/>
      </c>
    </row>
    <row r="201">
      <c r="E201">
        <f>IF(D201="","",Settings!$B$6)</f>
        <v/>
      </c>
      <c r="F201">
        <f>IF(D201="","",D201+E201)</f>
        <v/>
      </c>
      <c r="I201">
        <f>IF(G201="","",G201-Settings!$B$6)</f>
        <v/>
      </c>
      <c r="K201">
        <f>IF(J201="","",IF(J201&lt;Settings!$B$5,Settings!$B$3,Settings!$B$4))</f>
        <v/>
      </c>
      <c r="L201">
        <f>IF(G201="","",G201*Settings!$B$2)</f>
        <v/>
      </c>
      <c r="M201">
        <f>IF(OR(G201="",J201=""),"",G201-L201-J201-K201-Settings!$B$6)</f>
        <v/>
      </c>
      <c r="N201">
        <f>IF(M201="","",IF(H201="Y","OK",IF(M201&gt;=Settings!$B$8,"MATCH","HOLD")))</f>
        <v/>
      </c>
    </row>
    <row r="202">
      <c r="E202">
        <f>IF(D202="","",Settings!$B$6)</f>
        <v/>
      </c>
      <c r="F202">
        <f>IF(D202="","",D202+E202)</f>
        <v/>
      </c>
      <c r="I202">
        <f>IF(G202="","",G202-Settings!$B$6)</f>
        <v/>
      </c>
      <c r="K202">
        <f>IF(J202="","",IF(J202&lt;Settings!$B$5,Settings!$B$3,Settings!$B$4))</f>
        <v/>
      </c>
      <c r="L202">
        <f>IF(G202="","",G202*Settings!$B$2)</f>
        <v/>
      </c>
      <c r="M202">
        <f>IF(OR(G202="",J202=""),"",G202-L202-J202-K202-Settings!$B$6)</f>
        <v/>
      </c>
      <c r="N202">
        <f>IF(M202="","",IF(H202="Y","OK",IF(M202&gt;=Settings!$B$8,"MATCH","HOLD")))</f>
        <v/>
      </c>
    </row>
    <row r="203">
      <c r="E203">
        <f>IF(D203="","",Settings!$B$6)</f>
        <v/>
      </c>
      <c r="F203">
        <f>IF(D203="","",D203+E203)</f>
        <v/>
      </c>
      <c r="I203">
        <f>IF(G203="","",G203-Settings!$B$6)</f>
        <v/>
      </c>
      <c r="K203">
        <f>IF(J203="","",IF(J203&lt;Settings!$B$5,Settings!$B$3,Settings!$B$4))</f>
        <v/>
      </c>
      <c r="L203">
        <f>IF(G203="","",G203*Settings!$B$2)</f>
        <v/>
      </c>
      <c r="M203">
        <f>IF(OR(G203="",J203=""),"",G203-L203-J203-K203-Settings!$B$6)</f>
        <v/>
      </c>
      <c r="N203">
        <f>IF(M203="","",IF(H203="Y","OK",IF(M203&gt;=Settings!$B$8,"MATCH","HOLD")))</f>
        <v/>
      </c>
    </row>
    <row r="204">
      <c r="E204">
        <f>IF(D204="","",Settings!$B$6)</f>
        <v/>
      </c>
      <c r="F204">
        <f>IF(D204="","",D204+E204)</f>
        <v/>
      </c>
      <c r="I204">
        <f>IF(G204="","",G204-Settings!$B$6)</f>
        <v/>
      </c>
      <c r="K204">
        <f>IF(J204="","",IF(J204&lt;Settings!$B$5,Settings!$B$3,Settings!$B$4))</f>
        <v/>
      </c>
      <c r="L204">
        <f>IF(G204="","",G204*Settings!$B$2)</f>
        <v/>
      </c>
      <c r="M204">
        <f>IF(OR(G204="",J204=""),"",G204-L204-J204-K204-Settings!$B$6)</f>
        <v/>
      </c>
      <c r="N204">
        <f>IF(M204="","",IF(H204="Y","OK",IF(M204&gt;=Settings!$B$8,"MATCH","HOLD")))</f>
        <v/>
      </c>
    </row>
    <row r="205">
      <c r="E205">
        <f>IF(D205="","",Settings!$B$6)</f>
        <v/>
      </c>
      <c r="F205">
        <f>IF(D205="","",D205+E205)</f>
        <v/>
      </c>
      <c r="I205">
        <f>IF(G205="","",G205-Settings!$B$6)</f>
        <v/>
      </c>
      <c r="K205">
        <f>IF(J205="","",IF(J205&lt;Settings!$B$5,Settings!$B$3,Settings!$B$4))</f>
        <v/>
      </c>
      <c r="L205">
        <f>IF(G205="","",G205*Settings!$B$2)</f>
        <v/>
      </c>
      <c r="M205">
        <f>IF(OR(G205="",J205=""),"",G205-L205-J205-K205-Settings!$B$6)</f>
        <v/>
      </c>
      <c r="N205">
        <f>IF(M205="","",IF(H205="Y","OK",IF(M205&gt;=Settings!$B$8,"MATCH","HOLD")))</f>
        <v/>
      </c>
    </row>
    <row r="206">
      <c r="E206">
        <f>IF(D206="","",Settings!$B$6)</f>
        <v/>
      </c>
      <c r="F206">
        <f>IF(D206="","",D206+E206)</f>
        <v/>
      </c>
      <c r="I206">
        <f>IF(G206="","",G206-Settings!$B$6)</f>
        <v/>
      </c>
      <c r="K206">
        <f>IF(J206="","",IF(J206&lt;Settings!$B$5,Settings!$B$3,Settings!$B$4))</f>
        <v/>
      </c>
      <c r="L206">
        <f>IF(G206="","",G206*Settings!$B$2)</f>
        <v/>
      </c>
      <c r="M206">
        <f>IF(OR(G206="",J206=""),"",G206-L206-J206-K206-Settings!$B$6)</f>
        <v/>
      </c>
      <c r="N206">
        <f>IF(M206="","",IF(H206="Y","OK",IF(M206&gt;=Settings!$B$8,"MATCH","HOLD")))</f>
        <v/>
      </c>
    </row>
    <row r="207">
      <c r="E207">
        <f>IF(D207="","",Settings!$B$6)</f>
        <v/>
      </c>
      <c r="F207">
        <f>IF(D207="","",D207+E207)</f>
        <v/>
      </c>
      <c r="I207">
        <f>IF(G207="","",G207-Settings!$B$6)</f>
        <v/>
      </c>
      <c r="K207">
        <f>IF(J207="","",IF(J207&lt;Settings!$B$5,Settings!$B$3,Settings!$B$4))</f>
        <v/>
      </c>
      <c r="L207">
        <f>IF(G207="","",G207*Settings!$B$2)</f>
        <v/>
      </c>
      <c r="M207">
        <f>IF(OR(G207="",J207=""),"",G207-L207-J207-K207-Settings!$B$6)</f>
        <v/>
      </c>
      <c r="N207">
        <f>IF(M207="","",IF(H207="Y","OK",IF(M207&gt;=Settings!$B$8,"MATCH","HOLD")))</f>
        <v/>
      </c>
    </row>
    <row r="208">
      <c r="E208">
        <f>IF(D208="","",Settings!$B$6)</f>
        <v/>
      </c>
      <c r="F208">
        <f>IF(D208="","",D208+E208)</f>
        <v/>
      </c>
      <c r="I208">
        <f>IF(G208="","",G208-Settings!$B$6)</f>
        <v/>
      </c>
      <c r="K208">
        <f>IF(J208="","",IF(J208&lt;Settings!$B$5,Settings!$B$3,Settings!$B$4))</f>
        <v/>
      </c>
      <c r="L208">
        <f>IF(G208="","",G208*Settings!$B$2)</f>
        <v/>
      </c>
      <c r="M208">
        <f>IF(OR(G208="",J208=""),"",G208-L208-J208-K208-Settings!$B$6)</f>
        <v/>
      </c>
      <c r="N208">
        <f>IF(M208="","",IF(H208="Y","OK",IF(M208&gt;=Settings!$B$8,"MATCH","HOLD")))</f>
        <v/>
      </c>
    </row>
    <row r="209">
      <c r="E209">
        <f>IF(D209="","",Settings!$B$6)</f>
        <v/>
      </c>
      <c r="F209">
        <f>IF(D209="","",D209+E209)</f>
        <v/>
      </c>
      <c r="I209">
        <f>IF(G209="","",G209-Settings!$B$6)</f>
        <v/>
      </c>
      <c r="K209">
        <f>IF(J209="","",IF(J209&lt;Settings!$B$5,Settings!$B$3,Settings!$B$4))</f>
        <v/>
      </c>
      <c r="L209">
        <f>IF(G209="","",G209*Settings!$B$2)</f>
        <v/>
      </c>
      <c r="M209">
        <f>IF(OR(G209="",J209=""),"",G209-L209-J209-K209-Settings!$B$6)</f>
        <v/>
      </c>
      <c r="N209">
        <f>IF(M209="","",IF(H209="Y","OK",IF(M209&gt;=Settings!$B$8,"MATCH","HOLD")))</f>
        <v/>
      </c>
    </row>
    <row r="210">
      <c r="E210">
        <f>IF(D210="","",Settings!$B$6)</f>
        <v/>
      </c>
      <c r="F210">
        <f>IF(D210="","",D210+E210)</f>
        <v/>
      </c>
      <c r="I210">
        <f>IF(G210="","",G210-Settings!$B$6)</f>
        <v/>
      </c>
      <c r="K210">
        <f>IF(J210="","",IF(J210&lt;Settings!$B$5,Settings!$B$3,Settings!$B$4))</f>
        <v/>
      </c>
      <c r="L210">
        <f>IF(G210="","",G210*Settings!$B$2)</f>
        <v/>
      </c>
      <c r="M210">
        <f>IF(OR(G210="",J210=""),"",G210-L210-J210-K210-Settings!$B$6)</f>
        <v/>
      </c>
      <c r="N210">
        <f>IF(M210="","",IF(H210="Y","OK",IF(M210&gt;=Settings!$B$8,"MATCH","HOLD")))</f>
        <v/>
      </c>
    </row>
    <row r="211">
      <c r="E211">
        <f>IF(D211="","",Settings!$B$6)</f>
        <v/>
      </c>
      <c r="F211">
        <f>IF(D211="","",D211+E211)</f>
        <v/>
      </c>
      <c r="I211">
        <f>IF(G211="","",G211-Settings!$B$6)</f>
        <v/>
      </c>
      <c r="K211">
        <f>IF(J211="","",IF(J211&lt;Settings!$B$5,Settings!$B$3,Settings!$B$4))</f>
        <v/>
      </c>
      <c r="L211">
        <f>IF(G211="","",G211*Settings!$B$2)</f>
        <v/>
      </c>
      <c r="M211">
        <f>IF(OR(G211="",J211=""),"",G211-L211-J211-K211-Settings!$B$6)</f>
        <v/>
      </c>
      <c r="N211">
        <f>IF(M211="","",IF(H211="Y","OK",IF(M211&gt;=Settings!$B$8,"MATCH","HOLD")))</f>
        <v/>
      </c>
    </row>
    <row r="212">
      <c r="E212">
        <f>IF(D212="","",Settings!$B$6)</f>
        <v/>
      </c>
      <c r="F212">
        <f>IF(D212="","",D212+E212)</f>
        <v/>
      </c>
      <c r="I212">
        <f>IF(G212="","",G212-Settings!$B$6)</f>
        <v/>
      </c>
      <c r="K212">
        <f>IF(J212="","",IF(J212&lt;Settings!$B$5,Settings!$B$3,Settings!$B$4))</f>
        <v/>
      </c>
      <c r="L212">
        <f>IF(G212="","",G212*Settings!$B$2)</f>
        <v/>
      </c>
      <c r="M212">
        <f>IF(OR(G212="",J212=""),"",G212-L212-J212-K212-Settings!$B$6)</f>
        <v/>
      </c>
      <c r="N212">
        <f>IF(M212="","",IF(H212="Y","OK",IF(M212&gt;=Settings!$B$8,"MATCH","HOLD")))</f>
        <v/>
      </c>
    </row>
    <row r="213">
      <c r="E213">
        <f>IF(D213="","",Settings!$B$6)</f>
        <v/>
      </c>
      <c r="F213">
        <f>IF(D213="","",D213+E213)</f>
        <v/>
      </c>
      <c r="I213">
        <f>IF(G213="","",G213-Settings!$B$6)</f>
        <v/>
      </c>
      <c r="K213">
        <f>IF(J213="","",IF(J213&lt;Settings!$B$5,Settings!$B$3,Settings!$B$4))</f>
        <v/>
      </c>
      <c r="L213">
        <f>IF(G213="","",G213*Settings!$B$2)</f>
        <v/>
      </c>
      <c r="M213">
        <f>IF(OR(G213="",J213=""),"",G213-L213-J213-K213-Settings!$B$6)</f>
        <v/>
      </c>
      <c r="N213">
        <f>IF(M213="","",IF(H213="Y","OK",IF(M213&gt;=Settings!$B$8,"MATCH","HOLD")))</f>
        <v/>
      </c>
    </row>
    <row r="214">
      <c r="E214">
        <f>IF(D214="","",Settings!$B$6)</f>
        <v/>
      </c>
      <c r="F214">
        <f>IF(D214="","",D214+E214)</f>
        <v/>
      </c>
      <c r="I214">
        <f>IF(G214="","",G214-Settings!$B$6)</f>
        <v/>
      </c>
      <c r="K214">
        <f>IF(J214="","",IF(J214&lt;Settings!$B$5,Settings!$B$3,Settings!$B$4))</f>
        <v/>
      </c>
      <c r="L214">
        <f>IF(G214="","",G214*Settings!$B$2)</f>
        <v/>
      </c>
      <c r="M214">
        <f>IF(OR(G214="",J214=""),"",G214-L214-J214-K214-Settings!$B$6)</f>
        <v/>
      </c>
      <c r="N214">
        <f>IF(M214="","",IF(H214="Y","OK",IF(M214&gt;=Settings!$B$8,"MATCH","HOLD")))</f>
        <v/>
      </c>
    </row>
    <row r="215">
      <c r="E215">
        <f>IF(D215="","",Settings!$B$6)</f>
        <v/>
      </c>
      <c r="F215">
        <f>IF(D215="","",D215+E215)</f>
        <v/>
      </c>
      <c r="I215">
        <f>IF(G215="","",G215-Settings!$B$6)</f>
        <v/>
      </c>
      <c r="K215">
        <f>IF(J215="","",IF(J215&lt;Settings!$B$5,Settings!$B$3,Settings!$B$4))</f>
        <v/>
      </c>
      <c r="L215">
        <f>IF(G215="","",G215*Settings!$B$2)</f>
        <v/>
      </c>
      <c r="M215">
        <f>IF(OR(G215="",J215=""),"",G215-L215-J215-K215-Settings!$B$6)</f>
        <v/>
      </c>
      <c r="N215">
        <f>IF(M215="","",IF(H215="Y","OK",IF(M215&gt;=Settings!$B$8,"MATCH","HOLD")))</f>
        <v/>
      </c>
    </row>
    <row r="216">
      <c r="E216">
        <f>IF(D216="","",Settings!$B$6)</f>
        <v/>
      </c>
      <c r="F216">
        <f>IF(D216="","",D216+E216)</f>
        <v/>
      </c>
      <c r="I216">
        <f>IF(G216="","",G216-Settings!$B$6)</f>
        <v/>
      </c>
      <c r="K216">
        <f>IF(J216="","",IF(J216&lt;Settings!$B$5,Settings!$B$3,Settings!$B$4))</f>
        <v/>
      </c>
      <c r="L216">
        <f>IF(G216="","",G216*Settings!$B$2)</f>
        <v/>
      </c>
      <c r="M216">
        <f>IF(OR(G216="",J216=""),"",G216-L216-J216-K216-Settings!$B$6)</f>
        <v/>
      </c>
      <c r="N216">
        <f>IF(M216="","",IF(H216="Y","OK",IF(M216&gt;=Settings!$B$8,"MATCH","HOLD")))</f>
        <v/>
      </c>
    </row>
    <row r="217">
      <c r="E217">
        <f>IF(D217="","",Settings!$B$6)</f>
        <v/>
      </c>
      <c r="F217">
        <f>IF(D217="","",D217+E217)</f>
        <v/>
      </c>
      <c r="I217">
        <f>IF(G217="","",G217-Settings!$B$6)</f>
        <v/>
      </c>
      <c r="K217">
        <f>IF(J217="","",IF(J217&lt;Settings!$B$5,Settings!$B$3,Settings!$B$4))</f>
        <v/>
      </c>
      <c r="L217">
        <f>IF(G217="","",G217*Settings!$B$2)</f>
        <v/>
      </c>
      <c r="M217">
        <f>IF(OR(G217="",J217=""),"",G217-L217-J217-K217-Settings!$B$6)</f>
        <v/>
      </c>
      <c r="N217">
        <f>IF(M217="","",IF(H217="Y","OK",IF(M217&gt;=Settings!$B$8,"MATCH","HOLD")))</f>
        <v/>
      </c>
    </row>
    <row r="218">
      <c r="E218">
        <f>IF(D218="","",Settings!$B$6)</f>
        <v/>
      </c>
      <c r="F218">
        <f>IF(D218="","",D218+E218)</f>
        <v/>
      </c>
      <c r="I218">
        <f>IF(G218="","",G218-Settings!$B$6)</f>
        <v/>
      </c>
      <c r="K218">
        <f>IF(J218="","",IF(J218&lt;Settings!$B$5,Settings!$B$3,Settings!$B$4))</f>
        <v/>
      </c>
      <c r="L218">
        <f>IF(G218="","",G218*Settings!$B$2)</f>
        <v/>
      </c>
      <c r="M218">
        <f>IF(OR(G218="",J218=""),"",G218-L218-J218-K218-Settings!$B$6)</f>
        <v/>
      </c>
      <c r="N218">
        <f>IF(M218="","",IF(H218="Y","OK",IF(M218&gt;=Settings!$B$8,"MATCH","HOLD")))</f>
        <v/>
      </c>
    </row>
    <row r="219">
      <c r="E219">
        <f>IF(D219="","",Settings!$B$6)</f>
        <v/>
      </c>
      <c r="F219">
        <f>IF(D219="","",D219+E219)</f>
        <v/>
      </c>
      <c r="I219">
        <f>IF(G219="","",G219-Settings!$B$6)</f>
        <v/>
      </c>
      <c r="K219">
        <f>IF(J219="","",IF(J219&lt;Settings!$B$5,Settings!$B$3,Settings!$B$4))</f>
        <v/>
      </c>
      <c r="L219">
        <f>IF(G219="","",G219*Settings!$B$2)</f>
        <v/>
      </c>
      <c r="M219">
        <f>IF(OR(G219="",J219=""),"",G219-L219-J219-K219-Settings!$B$6)</f>
        <v/>
      </c>
      <c r="N219">
        <f>IF(M219="","",IF(H219="Y","OK",IF(M219&gt;=Settings!$B$8,"MATCH","HOLD")))</f>
        <v/>
      </c>
    </row>
    <row r="220">
      <c r="E220">
        <f>IF(D220="","",Settings!$B$6)</f>
        <v/>
      </c>
      <c r="F220">
        <f>IF(D220="","",D220+E220)</f>
        <v/>
      </c>
      <c r="I220">
        <f>IF(G220="","",G220-Settings!$B$6)</f>
        <v/>
      </c>
      <c r="K220">
        <f>IF(J220="","",IF(J220&lt;Settings!$B$5,Settings!$B$3,Settings!$B$4))</f>
        <v/>
      </c>
      <c r="L220">
        <f>IF(G220="","",G220*Settings!$B$2)</f>
        <v/>
      </c>
      <c r="M220">
        <f>IF(OR(G220="",J220=""),"",G220-L220-J220-K220-Settings!$B$6)</f>
        <v/>
      </c>
      <c r="N220">
        <f>IF(M220="","",IF(H220="Y","OK",IF(M220&gt;=Settings!$B$8,"MATCH","HOLD")))</f>
        <v/>
      </c>
    </row>
    <row r="221">
      <c r="E221">
        <f>IF(D221="","",Settings!$B$6)</f>
        <v/>
      </c>
      <c r="F221">
        <f>IF(D221="","",D221+E221)</f>
        <v/>
      </c>
      <c r="I221">
        <f>IF(G221="","",G221-Settings!$B$6)</f>
        <v/>
      </c>
      <c r="K221">
        <f>IF(J221="","",IF(J221&lt;Settings!$B$5,Settings!$B$3,Settings!$B$4))</f>
        <v/>
      </c>
      <c r="L221">
        <f>IF(G221="","",G221*Settings!$B$2)</f>
        <v/>
      </c>
      <c r="M221">
        <f>IF(OR(G221="",J221=""),"",G221-L221-J221-K221-Settings!$B$6)</f>
        <v/>
      </c>
      <c r="N221">
        <f>IF(M221="","",IF(H221="Y","OK",IF(M221&gt;=Settings!$B$8,"MATCH","HOLD")))</f>
        <v/>
      </c>
    </row>
    <row r="222">
      <c r="E222">
        <f>IF(D222="","",Settings!$B$6)</f>
        <v/>
      </c>
      <c r="F222">
        <f>IF(D222="","",D222+E222)</f>
        <v/>
      </c>
      <c r="I222">
        <f>IF(G222="","",G222-Settings!$B$6)</f>
        <v/>
      </c>
      <c r="K222">
        <f>IF(J222="","",IF(J222&lt;Settings!$B$5,Settings!$B$3,Settings!$B$4))</f>
        <v/>
      </c>
      <c r="L222">
        <f>IF(G222="","",G222*Settings!$B$2)</f>
        <v/>
      </c>
      <c r="M222">
        <f>IF(OR(G222="",J222=""),"",G222-L222-J222-K222-Settings!$B$6)</f>
        <v/>
      </c>
      <c r="N222">
        <f>IF(M222="","",IF(H222="Y","OK",IF(M222&gt;=Settings!$B$8,"MATCH","HOLD")))</f>
        <v/>
      </c>
    </row>
    <row r="223">
      <c r="E223">
        <f>IF(D223="","",Settings!$B$6)</f>
        <v/>
      </c>
      <c r="F223">
        <f>IF(D223="","",D223+E223)</f>
        <v/>
      </c>
      <c r="I223">
        <f>IF(G223="","",G223-Settings!$B$6)</f>
        <v/>
      </c>
      <c r="K223">
        <f>IF(J223="","",IF(J223&lt;Settings!$B$5,Settings!$B$3,Settings!$B$4))</f>
        <v/>
      </c>
      <c r="L223">
        <f>IF(G223="","",G223*Settings!$B$2)</f>
        <v/>
      </c>
      <c r="M223">
        <f>IF(OR(G223="",J223=""),"",G223-L223-J223-K223-Settings!$B$6)</f>
        <v/>
      </c>
      <c r="N223">
        <f>IF(M223="","",IF(H223="Y","OK",IF(M223&gt;=Settings!$B$8,"MATCH","HOLD")))</f>
        <v/>
      </c>
    </row>
    <row r="224">
      <c r="E224">
        <f>IF(D224="","",Settings!$B$6)</f>
        <v/>
      </c>
      <c r="F224">
        <f>IF(D224="","",D224+E224)</f>
        <v/>
      </c>
      <c r="I224">
        <f>IF(G224="","",G224-Settings!$B$6)</f>
        <v/>
      </c>
      <c r="K224">
        <f>IF(J224="","",IF(J224&lt;Settings!$B$5,Settings!$B$3,Settings!$B$4))</f>
        <v/>
      </c>
      <c r="L224">
        <f>IF(G224="","",G224*Settings!$B$2)</f>
        <v/>
      </c>
      <c r="M224">
        <f>IF(OR(G224="",J224=""),"",G224-L224-J224-K224-Settings!$B$6)</f>
        <v/>
      </c>
      <c r="N224">
        <f>IF(M224="","",IF(H224="Y","OK",IF(M224&gt;=Settings!$B$8,"MATCH","HOLD")))</f>
        <v/>
      </c>
    </row>
    <row r="225">
      <c r="E225">
        <f>IF(D225="","",Settings!$B$6)</f>
        <v/>
      </c>
      <c r="F225">
        <f>IF(D225="","",D225+E225)</f>
        <v/>
      </c>
      <c r="I225">
        <f>IF(G225="","",G225-Settings!$B$6)</f>
        <v/>
      </c>
      <c r="K225">
        <f>IF(J225="","",IF(J225&lt;Settings!$B$5,Settings!$B$3,Settings!$B$4))</f>
        <v/>
      </c>
      <c r="L225">
        <f>IF(G225="","",G225*Settings!$B$2)</f>
        <v/>
      </c>
      <c r="M225">
        <f>IF(OR(G225="",J225=""),"",G225-L225-J225-K225-Settings!$B$6)</f>
        <v/>
      </c>
      <c r="N225">
        <f>IF(M225="","",IF(H225="Y","OK",IF(M225&gt;=Settings!$B$8,"MATCH","HOLD")))</f>
        <v/>
      </c>
    </row>
    <row r="226">
      <c r="E226">
        <f>IF(D226="","",Settings!$B$6)</f>
        <v/>
      </c>
      <c r="F226">
        <f>IF(D226="","",D226+E226)</f>
        <v/>
      </c>
      <c r="I226">
        <f>IF(G226="","",G226-Settings!$B$6)</f>
        <v/>
      </c>
      <c r="K226">
        <f>IF(J226="","",IF(J226&lt;Settings!$B$5,Settings!$B$3,Settings!$B$4))</f>
        <v/>
      </c>
      <c r="L226">
        <f>IF(G226="","",G226*Settings!$B$2)</f>
        <v/>
      </c>
      <c r="M226">
        <f>IF(OR(G226="",J226=""),"",G226-L226-J226-K226-Settings!$B$6)</f>
        <v/>
      </c>
      <c r="N226">
        <f>IF(M226="","",IF(H226="Y","OK",IF(M226&gt;=Settings!$B$8,"MATCH","HOLD")))</f>
        <v/>
      </c>
    </row>
    <row r="227">
      <c r="E227">
        <f>IF(D227="","",Settings!$B$6)</f>
        <v/>
      </c>
      <c r="F227">
        <f>IF(D227="","",D227+E227)</f>
        <v/>
      </c>
      <c r="I227">
        <f>IF(G227="","",G227-Settings!$B$6)</f>
        <v/>
      </c>
      <c r="K227">
        <f>IF(J227="","",IF(J227&lt;Settings!$B$5,Settings!$B$3,Settings!$B$4))</f>
        <v/>
      </c>
      <c r="L227">
        <f>IF(G227="","",G227*Settings!$B$2)</f>
        <v/>
      </c>
      <c r="M227">
        <f>IF(OR(G227="",J227=""),"",G227-L227-J227-K227-Settings!$B$6)</f>
        <v/>
      </c>
      <c r="N227">
        <f>IF(M227="","",IF(H227="Y","OK",IF(M227&gt;=Settings!$B$8,"MATCH","HOLD")))</f>
        <v/>
      </c>
    </row>
    <row r="228">
      <c r="E228">
        <f>IF(D228="","",Settings!$B$6)</f>
        <v/>
      </c>
      <c r="F228">
        <f>IF(D228="","",D228+E228)</f>
        <v/>
      </c>
      <c r="I228">
        <f>IF(G228="","",G228-Settings!$B$6)</f>
        <v/>
      </c>
      <c r="K228">
        <f>IF(J228="","",IF(J228&lt;Settings!$B$5,Settings!$B$3,Settings!$B$4))</f>
        <v/>
      </c>
      <c r="L228">
        <f>IF(G228="","",G228*Settings!$B$2)</f>
        <v/>
      </c>
      <c r="M228">
        <f>IF(OR(G228="",J228=""),"",G228-L228-J228-K228-Settings!$B$6)</f>
        <v/>
      </c>
      <c r="N228">
        <f>IF(M228="","",IF(H228="Y","OK",IF(M228&gt;=Settings!$B$8,"MATCH","HOLD")))</f>
        <v/>
      </c>
    </row>
    <row r="229">
      <c r="E229">
        <f>IF(D229="","",Settings!$B$6)</f>
        <v/>
      </c>
      <c r="F229">
        <f>IF(D229="","",D229+E229)</f>
        <v/>
      </c>
      <c r="I229">
        <f>IF(G229="","",G229-Settings!$B$6)</f>
        <v/>
      </c>
      <c r="K229">
        <f>IF(J229="","",IF(J229&lt;Settings!$B$5,Settings!$B$3,Settings!$B$4))</f>
        <v/>
      </c>
      <c r="L229">
        <f>IF(G229="","",G229*Settings!$B$2)</f>
        <v/>
      </c>
      <c r="M229">
        <f>IF(OR(G229="",J229=""),"",G229-L229-J229-K229-Settings!$B$6)</f>
        <v/>
      </c>
      <c r="N229">
        <f>IF(M229="","",IF(H229="Y","OK",IF(M229&gt;=Settings!$B$8,"MATCH","HOLD")))</f>
        <v/>
      </c>
    </row>
    <row r="230">
      <c r="E230">
        <f>IF(D230="","",Settings!$B$6)</f>
        <v/>
      </c>
      <c r="F230">
        <f>IF(D230="","",D230+E230)</f>
        <v/>
      </c>
      <c r="I230">
        <f>IF(G230="","",G230-Settings!$B$6)</f>
        <v/>
      </c>
      <c r="K230">
        <f>IF(J230="","",IF(J230&lt;Settings!$B$5,Settings!$B$3,Settings!$B$4))</f>
        <v/>
      </c>
      <c r="L230">
        <f>IF(G230="","",G230*Settings!$B$2)</f>
        <v/>
      </c>
      <c r="M230">
        <f>IF(OR(G230="",J230=""),"",G230-L230-J230-K230-Settings!$B$6)</f>
        <v/>
      </c>
      <c r="N230">
        <f>IF(M230="","",IF(H230="Y","OK",IF(M230&gt;=Settings!$B$8,"MATCH","HOLD")))</f>
        <v/>
      </c>
    </row>
    <row r="231">
      <c r="E231">
        <f>IF(D231="","",Settings!$B$6)</f>
        <v/>
      </c>
      <c r="F231">
        <f>IF(D231="","",D231+E231)</f>
        <v/>
      </c>
      <c r="I231">
        <f>IF(G231="","",G231-Settings!$B$6)</f>
        <v/>
      </c>
      <c r="K231">
        <f>IF(J231="","",IF(J231&lt;Settings!$B$5,Settings!$B$3,Settings!$B$4))</f>
        <v/>
      </c>
      <c r="L231">
        <f>IF(G231="","",G231*Settings!$B$2)</f>
        <v/>
      </c>
      <c r="M231">
        <f>IF(OR(G231="",J231=""),"",G231-L231-J231-K231-Settings!$B$6)</f>
        <v/>
      </c>
      <c r="N231">
        <f>IF(M231="","",IF(H231="Y","OK",IF(M231&gt;=Settings!$B$8,"MATCH","HOLD")))</f>
        <v/>
      </c>
    </row>
    <row r="232">
      <c r="E232">
        <f>IF(D232="","",Settings!$B$6)</f>
        <v/>
      </c>
      <c r="F232">
        <f>IF(D232="","",D232+E232)</f>
        <v/>
      </c>
      <c r="I232">
        <f>IF(G232="","",G232-Settings!$B$6)</f>
        <v/>
      </c>
      <c r="K232">
        <f>IF(J232="","",IF(J232&lt;Settings!$B$5,Settings!$B$3,Settings!$B$4))</f>
        <v/>
      </c>
      <c r="L232">
        <f>IF(G232="","",G232*Settings!$B$2)</f>
        <v/>
      </c>
      <c r="M232">
        <f>IF(OR(G232="",J232=""),"",G232-L232-J232-K232-Settings!$B$6)</f>
        <v/>
      </c>
      <c r="N232">
        <f>IF(M232="","",IF(H232="Y","OK",IF(M232&gt;=Settings!$B$8,"MATCH","HOLD")))</f>
        <v/>
      </c>
    </row>
    <row r="233">
      <c r="E233">
        <f>IF(D233="","",Settings!$B$6)</f>
        <v/>
      </c>
      <c r="F233">
        <f>IF(D233="","",D233+E233)</f>
        <v/>
      </c>
      <c r="I233">
        <f>IF(G233="","",G233-Settings!$B$6)</f>
        <v/>
      </c>
      <c r="K233">
        <f>IF(J233="","",IF(J233&lt;Settings!$B$5,Settings!$B$3,Settings!$B$4))</f>
        <v/>
      </c>
      <c r="L233">
        <f>IF(G233="","",G233*Settings!$B$2)</f>
        <v/>
      </c>
      <c r="M233">
        <f>IF(OR(G233="",J233=""),"",G233-L233-J233-K233-Settings!$B$6)</f>
        <v/>
      </c>
      <c r="N233">
        <f>IF(M233="","",IF(H233="Y","OK",IF(M233&gt;=Settings!$B$8,"MATCH","HOLD")))</f>
        <v/>
      </c>
    </row>
    <row r="234">
      <c r="E234">
        <f>IF(D234="","",Settings!$B$6)</f>
        <v/>
      </c>
      <c r="F234">
        <f>IF(D234="","",D234+E234)</f>
        <v/>
      </c>
      <c r="I234">
        <f>IF(G234="","",G234-Settings!$B$6)</f>
        <v/>
      </c>
      <c r="K234">
        <f>IF(J234="","",IF(J234&lt;Settings!$B$5,Settings!$B$3,Settings!$B$4))</f>
        <v/>
      </c>
      <c r="L234">
        <f>IF(G234="","",G234*Settings!$B$2)</f>
        <v/>
      </c>
      <c r="M234">
        <f>IF(OR(G234="",J234=""),"",G234-L234-J234-K234-Settings!$B$6)</f>
        <v/>
      </c>
      <c r="N234">
        <f>IF(M234="","",IF(H234="Y","OK",IF(M234&gt;=Settings!$B$8,"MATCH","HOLD")))</f>
        <v/>
      </c>
    </row>
    <row r="235">
      <c r="E235">
        <f>IF(D235="","",Settings!$B$6)</f>
        <v/>
      </c>
      <c r="F235">
        <f>IF(D235="","",D235+E235)</f>
        <v/>
      </c>
      <c r="I235">
        <f>IF(G235="","",G235-Settings!$B$6)</f>
        <v/>
      </c>
      <c r="K235">
        <f>IF(J235="","",IF(J235&lt;Settings!$B$5,Settings!$B$3,Settings!$B$4))</f>
        <v/>
      </c>
      <c r="L235">
        <f>IF(G235="","",G235*Settings!$B$2)</f>
        <v/>
      </c>
      <c r="M235">
        <f>IF(OR(G235="",J235=""),"",G235-L235-J235-K235-Settings!$B$6)</f>
        <v/>
      </c>
      <c r="N235">
        <f>IF(M235="","",IF(H235="Y","OK",IF(M235&gt;=Settings!$B$8,"MATCH","HOLD")))</f>
        <v/>
      </c>
    </row>
    <row r="236">
      <c r="E236">
        <f>IF(D236="","",Settings!$B$6)</f>
        <v/>
      </c>
      <c r="F236">
        <f>IF(D236="","",D236+E236)</f>
        <v/>
      </c>
      <c r="I236">
        <f>IF(G236="","",G236-Settings!$B$6)</f>
        <v/>
      </c>
      <c r="K236">
        <f>IF(J236="","",IF(J236&lt;Settings!$B$5,Settings!$B$3,Settings!$B$4))</f>
        <v/>
      </c>
      <c r="L236">
        <f>IF(G236="","",G236*Settings!$B$2)</f>
        <v/>
      </c>
      <c r="M236">
        <f>IF(OR(G236="",J236=""),"",G236-L236-J236-K236-Settings!$B$6)</f>
        <v/>
      </c>
      <c r="N236">
        <f>IF(M236="","",IF(H236="Y","OK",IF(M236&gt;=Settings!$B$8,"MATCH","HOLD")))</f>
        <v/>
      </c>
    </row>
    <row r="237">
      <c r="E237">
        <f>IF(D237="","",Settings!$B$6)</f>
        <v/>
      </c>
      <c r="F237">
        <f>IF(D237="","",D237+E237)</f>
        <v/>
      </c>
      <c r="I237">
        <f>IF(G237="","",G237-Settings!$B$6)</f>
        <v/>
      </c>
      <c r="K237">
        <f>IF(J237="","",IF(J237&lt;Settings!$B$5,Settings!$B$3,Settings!$B$4))</f>
        <v/>
      </c>
      <c r="L237">
        <f>IF(G237="","",G237*Settings!$B$2)</f>
        <v/>
      </c>
      <c r="M237">
        <f>IF(OR(G237="",J237=""),"",G237-L237-J237-K237-Settings!$B$6)</f>
        <v/>
      </c>
      <c r="N237">
        <f>IF(M237="","",IF(H237="Y","OK",IF(M237&gt;=Settings!$B$8,"MATCH","HOLD")))</f>
        <v/>
      </c>
    </row>
    <row r="238">
      <c r="E238">
        <f>IF(D238="","",Settings!$B$6)</f>
        <v/>
      </c>
      <c r="F238">
        <f>IF(D238="","",D238+E238)</f>
        <v/>
      </c>
      <c r="I238">
        <f>IF(G238="","",G238-Settings!$B$6)</f>
        <v/>
      </c>
      <c r="K238">
        <f>IF(J238="","",IF(J238&lt;Settings!$B$5,Settings!$B$3,Settings!$B$4))</f>
        <v/>
      </c>
      <c r="L238">
        <f>IF(G238="","",G238*Settings!$B$2)</f>
        <v/>
      </c>
      <c r="M238">
        <f>IF(OR(G238="",J238=""),"",G238-L238-J238-K238-Settings!$B$6)</f>
        <v/>
      </c>
      <c r="N238">
        <f>IF(M238="","",IF(H238="Y","OK",IF(M238&gt;=Settings!$B$8,"MATCH","HOLD")))</f>
        <v/>
      </c>
    </row>
    <row r="239">
      <c r="E239">
        <f>IF(D239="","",Settings!$B$6)</f>
        <v/>
      </c>
      <c r="F239">
        <f>IF(D239="","",D239+E239)</f>
        <v/>
      </c>
      <c r="I239">
        <f>IF(G239="","",G239-Settings!$B$6)</f>
        <v/>
      </c>
      <c r="K239">
        <f>IF(J239="","",IF(J239&lt;Settings!$B$5,Settings!$B$3,Settings!$B$4))</f>
        <v/>
      </c>
      <c r="L239">
        <f>IF(G239="","",G239*Settings!$B$2)</f>
        <v/>
      </c>
      <c r="M239">
        <f>IF(OR(G239="",J239=""),"",G239-L239-J239-K239-Settings!$B$6)</f>
        <v/>
      </c>
      <c r="N239">
        <f>IF(M239="","",IF(H239="Y","OK",IF(M239&gt;=Settings!$B$8,"MATCH","HOLD")))</f>
        <v/>
      </c>
    </row>
    <row r="240">
      <c r="E240">
        <f>IF(D240="","",Settings!$B$6)</f>
        <v/>
      </c>
      <c r="F240">
        <f>IF(D240="","",D240+E240)</f>
        <v/>
      </c>
      <c r="I240">
        <f>IF(G240="","",G240-Settings!$B$6)</f>
        <v/>
      </c>
      <c r="K240">
        <f>IF(J240="","",IF(J240&lt;Settings!$B$5,Settings!$B$3,Settings!$B$4))</f>
        <v/>
      </c>
      <c r="L240">
        <f>IF(G240="","",G240*Settings!$B$2)</f>
        <v/>
      </c>
      <c r="M240">
        <f>IF(OR(G240="",J240=""),"",G240-L240-J240-K240-Settings!$B$6)</f>
        <v/>
      </c>
      <c r="N240">
        <f>IF(M240="","",IF(H240="Y","OK",IF(M240&gt;=Settings!$B$8,"MATCH","HOLD")))</f>
        <v/>
      </c>
    </row>
    <row r="241">
      <c r="E241">
        <f>IF(D241="","",Settings!$B$6)</f>
        <v/>
      </c>
      <c r="F241">
        <f>IF(D241="","",D241+E241)</f>
        <v/>
      </c>
      <c r="I241">
        <f>IF(G241="","",G241-Settings!$B$6)</f>
        <v/>
      </c>
      <c r="K241">
        <f>IF(J241="","",IF(J241&lt;Settings!$B$5,Settings!$B$3,Settings!$B$4))</f>
        <v/>
      </c>
      <c r="L241">
        <f>IF(G241="","",G241*Settings!$B$2)</f>
        <v/>
      </c>
      <c r="M241">
        <f>IF(OR(G241="",J241=""),"",G241-L241-J241-K241-Settings!$B$6)</f>
        <v/>
      </c>
      <c r="N241">
        <f>IF(M241="","",IF(H241="Y","OK",IF(M241&gt;=Settings!$B$8,"MATCH","HOLD")))</f>
        <v/>
      </c>
    </row>
    <row r="242">
      <c r="E242">
        <f>IF(D242="","",Settings!$B$6)</f>
        <v/>
      </c>
      <c r="F242">
        <f>IF(D242="","",D242+E242)</f>
        <v/>
      </c>
      <c r="I242">
        <f>IF(G242="","",G242-Settings!$B$6)</f>
        <v/>
      </c>
      <c r="K242">
        <f>IF(J242="","",IF(J242&lt;Settings!$B$5,Settings!$B$3,Settings!$B$4))</f>
        <v/>
      </c>
      <c r="L242">
        <f>IF(G242="","",G242*Settings!$B$2)</f>
        <v/>
      </c>
      <c r="M242">
        <f>IF(OR(G242="",J242=""),"",G242-L242-J242-K242-Settings!$B$6)</f>
        <v/>
      </c>
      <c r="N242">
        <f>IF(M242="","",IF(H242="Y","OK",IF(M242&gt;=Settings!$B$8,"MATCH","HOLD")))</f>
        <v/>
      </c>
    </row>
    <row r="243">
      <c r="E243">
        <f>IF(D243="","",Settings!$B$6)</f>
        <v/>
      </c>
      <c r="F243">
        <f>IF(D243="","",D243+E243)</f>
        <v/>
      </c>
      <c r="I243">
        <f>IF(G243="","",G243-Settings!$B$6)</f>
        <v/>
      </c>
      <c r="K243">
        <f>IF(J243="","",IF(J243&lt;Settings!$B$5,Settings!$B$3,Settings!$B$4))</f>
        <v/>
      </c>
      <c r="L243">
        <f>IF(G243="","",G243*Settings!$B$2)</f>
        <v/>
      </c>
      <c r="M243">
        <f>IF(OR(G243="",J243=""),"",G243-L243-J243-K243-Settings!$B$6)</f>
        <v/>
      </c>
      <c r="N243">
        <f>IF(M243="","",IF(H243="Y","OK",IF(M243&gt;=Settings!$B$8,"MATCH","HOLD")))</f>
        <v/>
      </c>
    </row>
    <row r="244">
      <c r="E244">
        <f>IF(D244="","",Settings!$B$6)</f>
        <v/>
      </c>
      <c r="F244">
        <f>IF(D244="","",D244+E244)</f>
        <v/>
      </c>
      <c r="I244">
        <f>IF(G244="","",G244-Settings!$B$6)</f>
        <v/>
      </c>
      <c r="K244">
        <f>IF(J244="","",IF(J244&lt;Settings!$B$5,Settings!$B$3,Settings!$B$4))</f>
        <v/>
      </c>
      <c r="L244">
        <f>IF(G244="","",G244*Settings!$B$2)</f>
        <v/>
      </c>
      <c r="M244">
        <f>IF(OR(G244="",J244=""),"",G244-L244-J244-K244-Settings!$B$6)</f>
        <v/>
      </c>
      <c r="N244">
        <f>IF(M244="","",IF(H244="Y","OK",IF(M244&gt;=Settings!$B$8,"MATCH","HOLD")))</f>
        <v/>
      </c>
    </row>
    <row r="245">
      <c r="E245">
        <f>IF(D245="","",Settings!$B$6)</f>
        <v/>
      </c>
      <c r="F245">
        <f>IF(D245="","",D245+E245)</f>
        <v/>
      </c>
      <c r="I245">
        <f>IF(G245="","",G245-Settings!$B$6)</f>
        <v/>
      </c>
      <c r="K245">
        <f>IF(J245="","",IF(J245&lt;Settings!$B$5,Settings!$B$3,Settings!$B$4))</f>
        <v/>
      </c>
      <c r="L245">
        <f>IF(G245="","",G245*Settings!$B$2)</f>
        <v/>
      </c>
      <c r="M245">
        <f>IF(OR(G245="",J245=""),"",G245-L245-J245-K245-Settings!$B$6)</f>
        <v/>
      </c>
      <c r="N245">
        <f>IF(M245="","",IF(H245="Y","OK",IF(M245&gt;=Settings!$B$8,"MATCH","HOLD")))</f>
        <v/>
      </c>
    </row>
    <row r="246">
      <c r="E246">
        <f>IF(D246="","",Settings!$B$6)</f>
        <v/>
      </c>
      <c r="F246">
        <f>IF(D246="","",D246+E246)</f>
        <v/>
      </c>
      <c r="I246">
        <f>IF(G246="","",G246-Settings!$B$6)</f>
        <v/>
      </c>
      <c r="K246">
        <f>IF(J246="","",IF(J246&lt;Settings!$B$5,Settings!$B$3,Settings!$B$4))</f>
        <v/>
      </c>
      <c r="L246">
        <f>IF(G246="","",G246*Settings!$B$2)</f>
        <v/>
      </c>
      <c r="M246">
        <f>IF(OR(G246="",J246=""),"",G246-L246-J246-K246-Settings!$B$6)</f>
        <v/>
      </c>
      <c r="N246">
        <f>IF(M246="","",IF(H246="Y","OK",IF(M246&gt;=Settings!$B$8,"MATCH","HOLD")))</f>
        <v/>
      </c>
    </row>
    <row r="247">
      <c r="E247">
        <f>IF(D247="","",Settings!$B$6)</f>
        <v/>
      </c>
      <c r="F247">
        <f>IF(D247="","",D247+E247)</f>
        <v/>
      </c>
      <c r="I247">
        <f>IF(G247="","",G247-Settings!$B$6)</f>
        <v/>
      </c>
      <c r="K247">
        <f>IF(J247="","",IF(J247&lt;Settings!$B$5,Settings!$B$3,Settings!$B$4))</f>
        <v/>
      </c>
      <c r="L247">
        <f>IF(G247="","",G247*Settings!$B$2)</f>
        <v/>
      </c>
      <c r="M247">
        <f>IF(OR(G247="",J247=""),"",G247-L247-J247-K247-Settings!$B$6)</f>
        <v/>
      </c>
      <c r="N247">
        <f>IF(M247="","",IF(H247="Y","OK",IF(M247&gt;=Settings!$B$8,"MATCH","HOLD")))</f>
        <v/>
      </c>
    </row>
    <row r="248">
      <c r="E248">
        <f>IF(D248="","",Settings!$B$6)</f>
        <v/>
      </c>
      <c r="F248">
        <f>IF(D248="","",D248+E248)</f>
        <v/>
      </c>
      <c r="I248">
        <f>IF(G248="","",G248-Settings!$B$6)</f>
        <v/>
      </c>
      <c r="K248">
        <f>IF(J248="","",IF(J248&lt;Settings!$B$5,Settings!$B$3,Settings!$B$4))</f>
        <v/>
      </c>
      <c r="L248">
        <f>IF(G248="","",G248*Settings!$B$2)</f>
        <v/>
      </c>
      <c r="M248">
        <f>IF(OR(G248="",J248=""),"",G248-L248-J248-K248-Settings!$B$6)</f>
        <v/>
      </c>
      <c r="N248">
        <f>IF(M248="","",IF(H248="Y","OK",IF(M248&gt;=Settings!$B$8,"MATCH","HOLD")))</f>
        <v/>
      </c>
    </row>
    <row r="249">
      <c r="E249">
        <f>IF(D249="","",Settings!$B$6)</f>
        <v/>
      </c>
      <c r="F249">
        <f>IF(D249="","",D249+E249)</f>
        <v/>
      </c>
      <c r="I249">
        <f>IF(G249="","",G249-Settings!$B$6)</f>
        <v/>
      </c>
      <c r="K249">
        <f>IF(J249="","",IF(J249&lt;Settings!$B$5,Settings!$B$3,Settings!$B$4))</f>
        <v/>
      </c>
      <c r="L249">
        <f>IF(G249="","",G249*Settings!$B$2)</f>
        <v/>
      </c>
      <c r="M249">
        <f>IF(OR(G249="",J249=""),"",G249-L249-J249-K249-Settings!$B$6)</f>
        <v/>
      </c>
      <c r="N249">
        <f>IF(M249="","",IF(H249="Y","OK",IF(M249&gt;=Settings!$B$8,"MATCH","HOLD")))</f>
        <v/>
      </c>
    </row>
    <row r="250">
      <c r="E250">
        <f>IF(D250="","",Settings!$B$6)</f>
        <v/>
      </c>
      <c r="F250">
        <f>IF(D250="","",D250+E250)</f>
        <v/>
      </c>
      <c r="I250">
        <f>IF(G250="","",G250-Settings!$B$6)</f>
        <v/>
      </c>
      <c r="K250">
        <f>IF(J250="","",IF(J250&lt;Settings!$B$5,Settings!$B$3,Settings!$B$4))</f>
        <v/>
      </c>
      <c r="L250">
        <f>IF(G250="","",G250*Settings!$B$2)</f>
        <v/>
      </c>
      <c r="M250">
        <f>IF(OR(G250="",J250=""),"",G250-L250-J250-K250-Settings!$B$6)</f>
        <v/>
      </c>
      <c r="N250">
        <f>IF(M250="","",IF(H250="Y","OK",IF(M250&gt;=Settings!$B$8,"MATCH","HOLD")))</f>
        <v/>
      </c>
    </row>
    <row r="251">
      <c r="E251">
        <f>IF(D251="","",Settings!$B$6)</f>
        <v/>
      </c>
      <c r="F251">
        <f>IF(D251="","",D251+E251)</f>
        <v/>
      </c>
      <c r="I251">
        <f>IF(G251="","",G251-Settings!$B$6)</f>
        <v/>
      </c>
      <c r="K251">
        <f>IF(J251="","",IF(J251&lt;Settings!$B$5,Settings!$B$3,Settings!$B$4))</f>
        <v/>
      </c>
      <c r="L251">
        <f>IF(G251="","",G251*Settings!$B$2)</f>
        <v/>
      </c>
      <c r="M251">
        <f>IF(OR(G251="",J251=""),"",G251-L251-J251-K251-Settings!$B$6)</f>
        <v/>
      </c>
      <c r="N251">
        <f>IF(M251="","",IF(H251="Y","OK",IF(M251&gt;=Settings!$B$8,"MATCH","HOLD")))</f>
        <v/>
      </c>
    </row>
    <row r="252">
      <c r="E252">
        <f>IF(D252="","",Settings!$B$6)</f>
        <v/>
      </c>
      <c r="F252">
        <f>IF(D252="","",D252+E252)</f>
        <v/>
      </c>
      <c r="I252">
        <f>IF(G252="","",G252-Settings!$B$6)</f>
        <v/>
      </c>
      <c r="K252">
        <f>IF(J252="","",IF(J252&lt;Settings!$B$5,Settings!$B$3,Settings!$B$4))</f>
        <v/>
      </c>
      <c r="L252">
        <f>IF(G252="","",G252*Settings!$B$2)</f>
        <v/>
      </c>
      <c r="M252">
        <f>IF(OR(G252="",J252=""),"",G252-L252-J252-K252-Settings!$B$6)</f>
        <v/>
      </c>
      <c r="N252">
        <f>IF(M252="","",IF(H252="Y","OK",IF(M252&gt;=Settings!$B$8,"MATCH","HOLD")))</f>
        <v/>
      </c>
    </row>
    <row r="253">
      <c r="E253">
        <f>IF(D253="","",Settings!$B$6)</f>
        <v/>
      </c>
      <c r="F253">
        <f>IF(D253="","",D253+E253)</f>
        <v/>
      </c>
      <c r="I253">
        <f>IF(G253="","",G253-Settings!$B$6)</f>
        <v/>
      </c>
      <c r="K253">
        <f>IF(J253="","",IF(J253&lt;Settings!$B$5,Settings!$B$3,Settings!$B$4))</f>
        <v/>
      </c>
      <c r="L253">
        <f>IF(G253="","",G253*Settings!$B$2)</f>
        <v/>
      </c>
      <c r="M253">
        <f>IF(OR(G253="",J253=""),"",G253-L253-J253-K253-Settings!$B$6)</f>
        <v/>
      </c>
      <c r="N253">
        <f>IF(M253="","",IF(H253="Y","OK",IF(M253&gt;=Settings!$B$8,"MATCH","HOLD")))</f>
        <v/>
      </c>
    </row>
    <row r="254">
      <c r="E254">
        <f>IF(D254="","",Settings!$B$6)</f>
        <v/>
      </c>
      <c r="F254">
        <f>IF(D254="","",D254+E254)</f>
        <v/>
      </c>
      <c r="I254">
        <f>IF(G254="","",G254-Settings!$B$6)</f>
        <v/>
      </c>
      <c r="K254">
        <f>IF(J254="","",IF(J254&lt;Settings!$B$5,Settings!$B$3,Settings!$B$4))</f>
        <v/>
      </c>
      <c r="L254">
        <f>IF(G254="","",G254*Settings!$B$2)</f>
        <v/>
      </c>
      <c r="M254">
        <f>IF(OR(G254="",J254=""),"",G254-L254-J254-K254-Settings!$B$6)</f>
        <v/>
      </c>
      <c r="N254">
        <f>IF(M254="","",IF(H254="Y","OK",IF(M254&gt;=Settings!$B$8,"MATCH","HOLD")))</f>
        <v/>
      </c>
    </row>
    <row r="255">
      <c r="E255">
        <f>IF(D255="","",Settings!$B$6)</f>
        <v/>
      </c>
      <c r="F255">
        <f>IF(D255="","",D255+E255)</f>
        <v/>
      </c>
      <c r="I255">
        <f>IF(G255="","",G255-Settings!$B$6)</f>
        <v/>
      </c>
      <c r="K255">
        <f>IF(J255="","",IF(J255&lt;Settings!$B$5,Settings!$B$3,Settings!$B$4))</f>
        <v/>
      </c>
      <c r="L255">
        <f>IF(G255="","",G255*Settings!$B$2)</f>
        <v/>
      </c>
      <c r="M255">
        <f>IF(OR(G255="",J255=""),"",G255-L255-J255-K255-Settings!$B$6)</f>
        <v/>
      </c>
      <c r="N255">
        <f>IF(M255="","",IF(H255="Y","OK",IF(M255&gt;=Settings!$B$8,"MATCH","HOLD")))</f>
        <v/>
      </c>
    </row>
    <row r="256">
      <c r="E256">
        <f>IF(D256="","",Settings!$B$6)</f>
        <v/>
      </c>
      <c r="F256">
        <f>IF(D256="","",D256+E256)</f>
        <v/>
      </c>
      <c r="I256">
        <f>IF(G256="","",G256-Settings!$B$6)</f>
        <v/>
      </c>
      <c r="K256">
        <f>IF(J256="","",IF(J256&lt;Settings!$B$5,Settings!$B$3,Settings!$B$4))</f>
        <v/>
      </c>
      <c r="L256">
        <f>IF(G256="","",G256*Settings!$B$2)</f>
        <v/>
      </c>
      <c r="M256">
        <f>IF(OR(G256="",J256=""),"",G256-L256-J256-K256-Settings!$B$6)</f>
        <v/>
      </c>
      <c r="N256">
        <f>IF(M256="","",IF(H256="Y","OK",IF(M256&gt;=Settings!$B$8,"MATCH","HOLD")))</f>
        <v/>
      </c>
    </row>
    <row r="257">
      <c r="E257">
        <f>IF(D257="","",Settings!$B$6)</f>
        <v/>
      </c>
      <c r="F257">
        <f>IF(D257="","",D257+E257)</f>
        <v/>
      </c>
      <c r="I257">
        <f>IF(G257="","",G257-Settings!$B$6)</f>
        <v/>
      </c>
      <c r="K257">
        <f>IF(J257="","",IF(J257&lt;Settings!$B$5,Settings!$B$3,Settings!$B$4))</f>
        <v/>
      </c>
      <c r="L257">
        <f>IF(G257="","",G257*Settings!$B$2)</f>
        <v/>
      </c>
      <c r="M257">
        <f>IF(OR(G257="",J257=""),"",G257-L257-J257-K257-Settings!$B$6)</f>
        <v/>
      </c>
      <c r="N257">
        <f>IF(M257="","",IF(H257="Y","OK",IF(M257&gt;=Settings!$B$8,"MATCH","HOLD")))</f>
        <v/>
      </c>
    </row>
    <row r="258">
      <c r="E258">
        <f>IF(D258="","",Settings!$B$6)</f>
        <v/>
      </c>
      <c r="F258">
        <f>IF(D258="","",D258+E258)</f>
        <v/>
      </c>
      <c r="I258">
        <f>IF(G258="","",G258-Settings!$B$6)</f>
        <v/>
      </c>
      <c r="K258">
        <f>IF(J258="","",IF(J258&lt;Settings!$B$5,Settings!$B$3,Settings!$B$4))</f>
        <v/>
      </c>
      <c r="L258">
        <f>IF(G258="","",G258*Settings!$B$2)</f>
        <v/>
      </c>
      <c r="M258">
        <f>IF(OR(G258="",J258=""),"",G258-L258-J258-K258-Settings!$B$6)</f>
        <v/>
      </c>
      <c r="N258">
        <f>IF(M258="","",IF(H258="Y","OK",IF(M258&gt;=Settings!$B$8,"MATCH","HOLD")))</f>
        <v/>
      </c>
    </row>
    <row r="259">
      <c r="E259">
        <f>IF(D259="","",Settings!$B$6)</f>
        <v/>
      </c>
      <c r="F259">
        <f>IF(D259="","",D259+E259)</f>
        <v/>
      </c>
      <c r="I259">
        <f>IF(G259="","",G259-Settings!$B$6)</f>
        <v/>
      </c>
      <c r="K259">
        <f>IF(J259="","",IF(J259&lt;Settings!$B$5,Settings!$B$3,Settings!$B$4))</f>
        <v/>
      </c>
      <c r="L259">
        <f>IF(G259="","",G259*Settings!$B$2)</f>
        <v/>
      </c>
      <c r="M259">
        <f>IF(OR(G259="",J259=""),"",G259-L259-J259-K259-Settings!$B$6)</f>
        <v/>
      </c>
      <c r="N259">
        <f>IF(M259="","",IF(H259="Y","OK",IF(M259&gt;=Settings!$B$8,"MATCH","HOLD")))</f>
        <v/>
      </c>
    </row>
    <row r="260">
      <c r="E260">
        <f>IF(D260="","",Settings!$B$6)</f>
        <v/>
      </c>
      <c r="F260">
        <f>IF(D260="","",D260+E260)</f>
        <v/>
      </c>
      <c r="I260">
        <f>IF(G260="","",G260-Settings!$B$6)</f>
        <v/>
      </c>
      <c r="K260">
        <f>IF(J260="","",IF(J260&lt;Settings!$B$5,Settings!$B$3,Settings!$B$4))</f>
        <v/>
      </c>
      <c r="L260">
        <f>IF(G260="","",G260*Settings!$B$2)</f>
        <v/>
      </c>
      <c r="M260">
        <f>IF(OR(G260="",J260=""),"",G260-L260-J260-K260-Settings!$B$6)</f>
        <v/>
      </c>
      <c r="N260">
        <f>IF(M260="","",IF(H260="Y","OK",IF(M260&gt;=Settings!$B$8,"MATCH","HOLD")))</f>
        <v/>
      </c>
    </row>
    <row r="261">
      <c r="E261">
        <f>IF(D261="","",Settings!$B$6)</f>
        <v/>
      </c>
      <c r="F261">
        <f>IF(D261="","",D261+E261)</f>
        <v/>
      </c>
      <c r="I261">
        <f>IF(G261="","",G261-Settings!$B$6)</f>
        <v/>
      </c>
      <c r="K261">
        <f>IF(J261="","",IF(J261&lt;Settings!$B$5,Settings!$B$3,Settings!$B$4))</f>
        <v/>
      </c>
      <c r="L261">
        <f>IF(G261="","",G261*Settings!$B$2)</f>
        <v/>
      </c>
      <c r="M261">
        <f>IF(OR(G261="",J261=""),"",G261-L261-J261-K261-Settings!$B$6)</f>
        <v/>
      </c>
      <c r="N261">
        <f>IF(M261="","",IF(H261="Y","OK",IF(M261&gt;=Settings!$B$8,"MATCH","HOLD")))</f>
        <v/>
      </c>
    </row>
    <row r="262">
      <c r="E262">
        <f>IF(D262="","",Settings!$B$6)</f>
        <v/>
      </c>
      <c r="F262">
        <f>IF(D262="","",D262+E262)</f>
        <v/>
      </c>
      <c r="I262">
        <f>IF(G262="","",G262-Settings!$B$6)</f>
        <v/>
      </c>
      <c r="K262">
        <f>IF(J262="","",IF(J262&lt;Settings!$B$5,Settings!$B$3,Settings!$B$4))</f>
        <v/>
      </c>
      <c r="L262">
        <f>IF(G262="","",G262*Settings!$B$2)</f>
        <v/>
      </c>
      <c r="M262">
        <f>IF(OR(G262="",J262=""),"",G262-L262-J262-K262-Settings!$B$6)</f>
        <v/>
      </c>
      <c r="N262">
        <f>IF(M262="","",IF(H262="Y","OK",IF(M262&gt;=Settings!$B$8,"MATCH","HOLD")))</f>
        <v/>
      </c>
    </row>
    <row r="263">
      <c r="E263">
        <f>IF(D263="","",Settings!$B$6)</f>
        <v/>
      </c>
      <c r="F263">
        <f>IF(D263="","",D263+E263)</f>
        <v/>
      </c>
      <c r="I263">
        <f>IF(G263="","",G263-Settings!$B$6)</f>
        <v/>
      </c>
      <c r="K263">
        <f>IF(J263="","",IF(J263&lt;Settings!$B$5,Settings!$B$3,Settings!$B$4))</f>
        <v/>
      </c>
      <c r="L263">
        <f>IF(G263="","",G263*Settings!$B$2)</f>
        <v/>
      </c>
      <c r="M263">
        <f>IF(OR(G263="",J263=""),"",G263-L263-J263-K263-Settings!$B$6)</f>
        <v/>
      </c>
      <c r="N263">
        <f>IF(M263="","",IF(H263="Y","OK",IF(M263&gt;=Settings!$B$8,"MATCH","HOLD")))</f>
        <v/>
      </c>
    </row>
    <row r="264">
      <c r="E264">
        <f>IF(D264="","",Settings!$B$6)</f>
        <v/>
      </c>
      <c r="F264">
        <f>IF(D264="","",D264+E264)</f>
        <v/>
      </c>
      <c r="I264">
        <f>IF(G264="","",G264-Settings!$B$6)</f>
        <v/>
      </c>
      <c r="K264">
        <f>IF(J264="","",IF(J264&lt;Settings!$B$5,Settings!$B$3,Settings!$B$4))</f>
        <v/>
      </c>
      <c r="L264">
        <f>IF(G264="","",G264*Settings!$B$2)</f>
        <v/>
      </c>
      <c r="M264">
        <f>IF(OR(G264="",J264=""),"",G264-L264-J264-K264-Settings!$B$6)</f>
        <v/>
      </c>
      <c r="N264">
        <f>IF(M264="","",IF(H264="Y","OK",IF(M264&gt;=Settings!$B$8,"MATCH","HOLD")))</f>
        <v/>
      </c>
    </row>
    <row r="265">
      <c r="E265">
        <f>IF(D265="","",Settings!$B$6)</f>
        <v/>
      </c>
      <c r="F265">
        <f>IF(D265="","",D265+E265)</f>
        <v/>
      </c>
      <c r="I265">
        <f>IF(G265="","",G265-Settings!$B$6)</f>
        <v/>
      </c>
      <c r="K265">
        <f>IF(J265="","",IF(J265&lt;Settings!$B$5,Settings!$B$3,Settings!$B$4))</f>
        <v/>
      </c>
      <c r="L265">
        <f>IF(G265="","",G265*Settings!$B$2)</f>
        <v/>
      </c>
      <c r="M265">
        <f>IF(OR(G265="",J265=""),"",G265-L265-J265-K265-Settings!$B$6)</f>
        <v/>
      </c>
      <c r="N265">
        <f>IF(M265="","",IF(H265="Y","OK",IF(M265&gt;=Settings!$B$8,"MATCH","HOLD")))</f>
        <v/>
      </c>
    </row>
    <row r="266">
      <c r="E266">
        <f>IF(D266="","",Settings!$B$6)</f>
        <v/>
      </c>
      <c r="F266">
        <f>IF(D266="","",D266+E266)</f>
        <v/>
      </c>
      <c r="I266">
        <f>IF(G266="","",G266-Settings!$B$6)</f>
        <v/>
      </c>
      <c r="K266">
        <f>IF(J266="","",IF(J266&lt;Settings!$B$5,Settings!$B$3,Settings!$B$4))</f>
        <v/>
      </c>
      <c r="L266">
        <f>IF(G266="","",G266*Settings!$B$2)</f>
        <v/>
      </c>
      <c r="M266">
        <f>IF(OR(G266="",J266=""),"",G266-L266-J266-K266-Settings!$B$6)</f>
        <v/>
      </c>
      <c r="N266">
        <f>IF(M266="","",IF(H266="Y","OK",IF(M266&gt;=Settings!$B$8,"MATCH","HOLD")))</f>
        <v/>
      </c>
    </row>
    <row r="267">
      <c r="E267">
        <f>IF(D267="","",Settings!$B$6)</f>
        <v/>
      </c>
      <c r="F267">
        <f>IF(D267="","",D267+E267)</f>
        <v/>
      </c>
      <c r="I267">
        <f>IF(G267="","",G267-Settings!$B$6)</f>
        <v/>
      </c>
      <c r="K267">
        <f>IF(J267="","",IF(J267&lt;Settings!$B$5,Settings!$B$3,Settings!$B$4))</f>
        <v/>
      </c>
      <c r="L267">
        <f>IF(G267="","",G267*Settings!$B$2)</f>
        <v/>
      </c>
      <c r="M267">
        <f>IF(OR(G267="",J267=""),"",G267-L267-J267-K267-Settings!$B$6)</f>
        <v/>
      </c>
      <c r="N267">
        <f>IF(M267="","",IF(H267="Y","OK",IF(M267&gt;=Settings!$B$8,"MATCH","HOLD")))</f>
        <v/>
      </c>
    </row>
    <row r="268">
      <c r="E268">
        <f>IF(D268="","",Settings!$B$6)</f>
        <v/>
      </c>
      <c r="F268">
        <f>IF(D268="","",D268+E268)</f>
        <v/>
      </c>
      <c r="I268">
        <f>IF(G268="","",G268-Settings!$B$6)</f>
        <v/>
      </c>
      <c r="K268">
        <f>IF(J268="","",IF(J268&lt;Settings!$B$5,Settings!$B$3,Settings!$B$4))</f>
        <v/>
      </c>
      <c r="L268">
        <f>IF(G268="","",G268*Settings!$B$2)</f>
        <v/>
      </c>
      <c r="M268">
        <f>IF(OR(G268="",J268=""),"",G268-L268-J268-K268-Settings!$B$6)</f>
        <v/>
      </c>
      <c r="N268">
        <f>IF(M268="","",IF(H268="Y","OK",IF(M268&gt;=Settings!$B$8,"MATCH","HOLD")))</f>
        <v/>
      </c>
    </row>
    <row r="269">
      <c r="E269">
        <f>IF(D269="","",Settings!$B$6)</f>
        <v/>
      </c>
      <c r="F269">
        <f>IF(D269="","",D269+E269)</f>
        <v/>
      </c>
      <c r="I269">
        <f>IF(G269="","",G269-Settings!$B$6)</f>
        <v/>
      </c>
      <c r="K269">
        <f>IF(J269="","",IF(J269&lt;Settings!$B$5,Settings!$B$3,Settings!$B$4))</f>
        <v/>
      </c>
      <c r="L269">
        <f>IF(G269="","",G269*Settings!$B$2)</f>
        <v/>
      </c>
      <c r="M269">
        <f>IF(OR(G269="",J269=""),"",G269-L269-J269-K269-Settings!$B$6)</f>
        <v/>
      </c>
      <c r="N269">
        <f>IF(M269="","",IF(H269="Y","OK",IF(M269&gt;=Settings!$B$8,"MATCH","HOLD")))</f>
        <v/>
      </c>
    </row>
    <row r="270">
      <c r="E270">
        <f>IF(D270="","",Settings!$B$6)</f>
        <v/>
      </c>
      <c r="F270">
        <f>IF(D270="","",D270+E270)</f>
        <v/>
      </c>
      <c r="I270">
        <f>IF(G270="","",G270-Settings!$B$6)</f>
        <v/>
      </c>
      <c r="K270">
        <f>IF(J270="","",IF(J270&lt;Settings!$B$5,Settings!$B$3,Settings!$B$4))</f>
        <v/>
      </c>
      <c r="L270">
        <f>IF(G270="","",G270*Settings!$B$2)</f>
        <v/>
      </c>
      <c r="M270">
        <f>IF(OR(G270="",J270=""),"",G270-L270-J270-K270-Settings!$B$6)</f>
        <v/>
      </c>
      <c r="N270">
        <f>IF(M270="","",IF(H270="Y","OK",IF(M270&gt;=Settings!$B$8,"MATCH","HOLD")))</f>
        <v/>
      </c>
    </row>
    <row r="271">
      <c r="E271">
        <f>IF(D271="","",Settings!$B$6)</f>
        <v/>
      </c>
      <c r="F271">
        <f>IF(D271="","",D271+E271)</f>
        <v/>
      </c>
      <c r="I271">
        <f>IF(G271="","",G271-Settings!$B$6)</f>
        <v/>
      </c>
      <c r="K271">
        <f>IF(J271="","",IF(J271&lt;Settings!$B$5,Settings!$B$3,Settings!$B$4))</f>
        <v/>
      </c>
      <c r="L271">
        <f>IF(G271="","",G271*Settings!$B$2)</f>
        <v/>
      </c>
      <c r="M271">
        <f>IF(OR(G271="",J271=""),"",G271-L271-J271-K271-Settings!$B$6)</f>
        <v/>
      </c>
      <c r="N271">
        <f>IF(M271="","",IF(H271="Y","OK",IF(M271&gt;=Settings!$B$8,"MATCH","HOLD")))</f>
        <v/>
      </c>
    </row>
    <row r="272">
      <c r="E272">
        <f>IF(D272="","",Settings!$B$6)</f>
        <v/>
      </c>
      <c r="F272">
        <f>IF(D272="","",D272+E272)</f>
        <v/>
      </c>
      <c r="I272">
        <f>IF(G272="","",G272-Settings!$B$6)</f>
        <v/>
      </c>
      <c r="K272">
        <f>IF(J272="","",IF(J272&lt;Settings!$B$5,Settings!$B$3,Settings!$B$4))</f>
        <v/>
      </c>
      <c r="L272">
        <f>IF(G272="","",G272*Settings!$B$2)</f>
        <v/>
      </c>
      <c r="M272">
        <f>IF(OR(G272="",J272=""),"",G272-L272-J272-K272-Settings!$B$6)</f>
        <v/>
      </c>
      <c r="N272">
        <f>IF(M272="","",IF(H272="Y","OK",IF(M272&gt;=Settings!$B$8,"MATCH","HOLD")))</f>
        <v/>
      </c>
    </row>
    <row r="273">
      <c r="E273">
        <f>IF(D273="","",Settings!$B$6)</f>
        <v/>
      </c>
      <c r="F273">
        <f>IF(D273="","",D273+E273)</f>
        <v/>
      </c>
      <c r="I273">
        <f>IF(G273="","",G273-Settings!$B$6)</f>
        <v/>
      </c>
      <c r="K273">
        <f>IF(J273="","",IF(J273&lt;Settings!$B$5,Settings!$B$3,Settings!$B$4))</f>
        <v/>
      </c>
      <c r="L273">
        <f>IF(G273="","",G273*Settings!$B$2)</f>
        <v/>
      </c>
      <c r="M273">
        <f>IF(OR(G273="",J273=""),"",G273-L273-J273-K273-Settings!$B$6)</f>
        <v/>
      </c>
      <c r="N273">
        <f>IF(M273="","",IF(H273="Y","OK",IF(M273&gt;=Settings!$B$8,"MATCH","HOLD")))</f>
        <v/>
      </c>
    </row>
    <row r="274">
      <c r="E274">
        <f>IF(D274="","",Settings!$B$6)</f>
        <v/>
      </c>
      <c r="F274">
        <f>IF(D274="","",D274+E274)</f>
        <v/>
      </c>
      <c r="I274">
        <f>IF(G274="","",G274-Settings!$B$6)</f>
        <v/>
      </c>
      <c r="K274">
        <f>IF(J274="","",IF(J274&lt;Settings!$B$5,Settings!$B$3,Settings!$B$4))</f>
        <v/>
      </c>
      <c r="L274">
        <f>IF(G274="","",G274*Settings!$B$2)</f>
        <v/>
      </c>
      <c r="M274">
        <f>IF(OR(G274="",J274=""),"",G274-L274-J274-K274-Settings!$B$6)</f>
        <v/>
      </c>
      <c r="N274">
        <f>IF(M274="","",IF(H274="Y","OK",IF(M274&gt;=Settings!$B$8,"MATCH","HOLD")))</f>
        <v/>
      </c>
    </row>
    <row r="275">
      <c r="E275">
        <f>IF(D275="","",Settings!$B$6)</f>
        <v/>
      </c>
      <c r="F275">
        <f>IF(D275="","",D275+E275)</f>
        <v/>
      </c>
      <c r="I275">
        <f>IF(G275="","",G275-Settings!$B$6)</f>
        <v/>
      </c>
      <c r="K275">
        <f>IF(J275="","",IF(J275&lt;Settings!$B$5,Settings!$B$3,Settings!$B$4))</f>
        <v/>
      </c>
      <c r="L275">
        <f>IF(G275="","",G275*Settings!$B$2)</f>
        <v/>
      </c>
      <c r="M275">
        <f>IF(OR(G275="",J275=""),"",G275-L275-J275-K275-Settings!$B$6)</f>
        <v/>
      </c>
      <c r="N275">
        <f>IF(M275="","",IF(H275="Y","OK",IF(M275&gt;=Settings!$B$8,"MATCH","HOLD")))</f>
        <v/>
      </c>
    </row>
    <row r="276">
      <c r="E276">
        <f>IF(D276="","",Settings!$B$6)</f>
        <v/>
      </c>
      <c r="F276">
        <f>IF(D276="","",D276+E276)</f>
        <v/>
      </c>
      <c r="I276">
        <f>IF(G276="","",G276-Settings!$B$6)</f>
        <v/>
      </c>
      <c r="K276">
        <f>IF(J276="","",IF(J276&lt;Settings!$B$5,Settings!$B$3,Settings!$B$4))</f>
        <v/>
      </c>
      <c r="L276">
        <f>IF(G276="","",G276*Settings!$B$2)</f>
        <v/>
      </c>
      <c r="M276">
        <f>IF(OR(G276="",J276=""),"",G276-L276-J276-K276-Settings!$B$6)</f>
        <v/>
      </c>
      <c r="N276">
        <f>IF(M276="","",IF(H276="Y","OK",IF(M276&gt;=Settings!$B$8,"MATCH","HOLD")))</f>
        <v/>
      </c>
    </row>
    <row r="277">
      <c r="E277">
        <f>IF(D277="","",Settings!$B$6)</f>
        <v/>
      </c>
      <c r="F277">
        <f>IF(D277="","",D277+E277)</f>
        <v/>
      </c>
      <c r="I277">
        <f>IF(G277="","",G277-Settings!$B$6)</f>
        <v/>
      </c>
      <c r="K277">
        <f>IF(J277="","",IF(J277&lt;Settings!$B$5,Settings!$B$3,Settings!$B$4))</f>
        <v/>
      </c>
      <c r="L277">
        <f>IF(G277="","",G277*Settings!$B$2)</f>
        <v/>
      </c>
      <c r="M277">
        <f>IF(OR(G277="",J277=""),"",G277-L277-J277-K277-Settings!$B$6)</f>
        <v/>
      </c>
      <c r="N277">
        <f>IF(M277="","",IF(H277="Y","OK",IF(M277&gt;=Settings!$B$8,"MATCH","HOLD")))</f>
        <v/>
      </c>
    </row>
    <row r="278">
      <c r="E278">
        <f>IF(D278="","",Settings!$B$6)</f>
        <v/>
      </c>
      <c r="F278">
        <f>IF(D278="","",D278+E278)</f>
        <v/>
      </c>
      <c r="I278">
        <f>IF(G278="","",G278-Settings!$B$6)</f>
        <v/>
      </c>
      <c r="K278">
        <f>IF(J278="","",IF(J278&lt;Settings!$B$5,Settings!$B$3,Settings!$B$4))</f>
        <v/>
      </c>
      <c r="L278">
        <f>IF(G278="","",G278*Settings!$B$2)</f>
        <v/>
      </c>
      <c r="M278">
        <f>IF(OR(G278="",J278=""),"",G278-L278-J278-K278-Settings!$B$6)</f>
        <v/>
      </c>
      <c r="N278">
        <f>IF(M278="","",IF(H278="Y","OK",IF(M278&gt;=Settings!$B$8,"MATCH","HOLD")))</f>
        <v/>
      </c>
    </row>
    <row r="279">
      <c r="E279">
        <f>IF(D279="","",Settings!$B$6)</f>
        <v/>
      </c>
      <c r="F279">
        <f>IF(D279="","",D279+E279)</f>
        <v/>
      </c>
      <c r="I279">
        <f>IF(G279="","",G279-Settings!$B$6)</f>
        <v/>
      </c>
      <c r="K279">
        <f>IF(J279="","",IF(J279&lt;Settings!$B$5,Settings!$B$3,Settings!$B$4))</f>
        <v/>
      </c>
      <c r="L279">
        <f>IF(G279="","",G279*Settings!$B$2)</f>
        <v/>
      </c>
      <c r="M279">
        <f>IF(OR(G279="",J279=""),"",G279-L279-J279-K279-Settings!$B$6)</f>
        <v/>
      </c>
      <c r="N279">
        <f>IF(M279="","",IF(H279="Y","OK",IF(M279&gt;=Settings!$B$8,"MATCH","HOLD")))</f>
        <v/>
      </c>
    </row>
    <row r="280">
      <c r="E280">
        <f>IF(D280="","",Settings!$B$6)</f>
        <v/>
      </c>
      <c r="F280">
        <f>IF(D280="","",D280+E280)</f>
        <v/>
      </c>
      <c r="I280">
        <f>IF(G280="","",G280-Settings!$B$6)</f>
        <v/>
      </c>
      <c r="K280">
        <f>IF(J280="","",IF(J280&lt;Settings!$B$5,Settings!$B$3,Settings!$B$4))</f>
        <v/>
      </c>
      <c r="L280">
        <f>IF(G280="","",G280*Settings!$B$2)</f>
        <v/>
      </c>
      <c r="M280">
        <f>IF(OR(G280="",J280=""),"",G280-L280-J280-K280-Settings!$B$6)</f>
        <v/>
      </c>
      <c r="N280">
        <f>IF(M280="","",IF(H280="Y","OK",IF(M280&gt;=Settings!$B$8,"MATCH","HOLD")))</f>
        <v/>
      </c>
    </row>
    <row r="281">
      <c r="E281">
        <f>IF(D281="","",Settings!$B$6)</f>
        <v/>
      </c>
      <c r="F281">
        <f>IF(D281="","",D281+E281)</f>
        <v/>
      </c>
      <c r="I281">
        <f>IF(G281="","",G281-Settings!$B$6)</f>
        <v/>
      </c>
      <c r="K281">
        <f>IF(J281="","",IF(J281&lt;Settings!$B$5,Settings!$B$3,Settings!$B$4))</f>
        <v/>
      </c>
      <c r="L281">
        <f>IF(G281="","",G281*Settings!$B$2)</f>
        <v/>
      </c>
      <c r="M281">
        <f>IF(OR(G281="",J281=""),"",G281-L281-J281-K281-Settings!$B$6)</f>
        <v/>
      </c>
      <c r="N281">
        <f>IF(M281="","",IF(H281="Y","OK",IF(M281&gt;=Settings!$B$8,"MATCH","HOLD")))</f>
        <v/>
      </c>
    </row>
    <row r="282">
      <c r="E282">
        <f>IF(D282="","",Settings!$B$6)</f>
        <v/>
      </c>
      <c r="F282">
        <f>IF(D282="","",D282+E282)</f>
        <v/>
      </c>
      <c r="I282">
        <f>IF(G282="","",G282-Settings!$B$6)</f>
        <v/>
      </c>
      <c r="K282">
        <f>IF(J282="","",IF(J282&lt;Settings!$B$5,Settings!$B$3,Settings!$B$4))</f>
        <v/>
      </c>
      <c r="L282">
        <f>IF(G282="","",G282*Settings!$B$2)</f>
        <v/>
      </c>
      <c r="M282">
        <f>IF(OR(G282="",J282=""),"",G282-L282-J282-K282-Settings!$B$6)</f>
        <v/>
      </c>
      <c r="N282">
        <f>IF(M282="","",IF(H282="Y","OK",IF(M282&gt;=Settings!$B$8,"MATCH","HOLD")))</f>
        <v/>
      </c>
    </row>
    <row r="283">
      <c r="E283">
        <f>IF(D283="","",Settings!$B$6)</f>
        <v/>
      </c>
      <c r="F283">
        <f>IF(D283="","",D283+E283)</f>
        <v/>
      </c>
      <c r="I283">
        <f>IF(G283="","",G283-Settings!$B$6)</f>
        <v/>
      </c>
      <c r="K283">
        <f>IF(J283="","",IF(J283&lt;Settings!$B$5,Settings!$B$3,Settings!$B$4))</f>
        <v/>
      </c>
      <c r="L283">
        <f>IF(G283="","",G283*Settings!$B$2)</f>
        <v/>
      </c>
      <c r="M283">
        <f>IF(OR(G283="",J283=""),"",G283-L283-J283-K283-Settings!$B$6)</f>
        <v/>
      </c>
      <c r="N283">
        <f>IF(M283="","",IF(H283="Y","OK",IF(M283&gt;=Settings!$B$8,"MATCH","HOLD")))</f>
        <v/>
      </c>
    </row>
    <row r="284">
      <c r="E284">
        <f>IF(D284="","",Settings!$B$6)</f>
        <v/>
      </c>
      <c r="F284">
        <f>IF(D284="","",D284+E284)</f>
        <v/>
      </c>
      <c r="I284">
        <f>IF(G284="","",G284-Settings!$B$6)</f>
        <v/>
      </c>
      <c r="K284">
        <f>IF(J284="","",IF(J284&lt;Settings!$B$5,Settings!$B$3,Settings!$B$4))</f>
        <v/>
      </c>
      <c r="L284">
        <f>IF(G284="","",G284*Settings!$B$2)</f>
        <v/>
      </c>
      <c r="M284">
        <f>IF(OR(G284="",J284=""),"",G284-L284-J284-K284-Settings!$B$6)</f>
        <v/>
      </c>
      <c r="N284">
        <f>IF(M284="","",IF(H284="Y","OK",IF(M284&gt;=Settings!$B$8,"MATCH","HOLD")))</f>
        <v/>
      </c>
    </row>
    <row r="285">
      <c r="E285">
        <f>IF(D285="","",Settings!$B$6)</f>
        <v/>
      </c>
      <c r="F285">
        <f>IF(D285="","",D285+E285)</f>
        <v/>
      </c>
      <c r="I285">
        <f>IF(G285="","",G285-Settings!$B$6)</f>
        <v/>
      </c>
      <c r="K285">
        <f>IF(J285="","",IF(J285&lt;Settings!$B$5,Settings!$B$3,Settings!$B$4))</f>
        <v/>
      </c>
      <c r="L285">
        <f>IF(G285="","",G285*Settings!$B$2)</f>
        <v/>
      </c>
      <c r="M285">
        <f>IF(OR(G285="",J285=""),"",G285-L285-J285-K285-Settings!$B$6)</f>
        <v/>
      </c>
      <c r="N285">
        <f>IF(M285="","",IF(H285="Y","OK",IF(M285&gt;=Settings!$B$8,"MATCH","HOLD")))</f>
        <v/>
      </c>
    </row>
    <row r="286">
      <c r="E286">
        <f>IF(D286="","",Settings!$B$6)</f>
        <v/>
      </c>
      <c r="F286">
        <f>IF(D286="","",D286+E286)</f>
        <v/>
      </c>
      <c r="I286">
        <f>IF(G286="","",G286-Settings!$B$6)</f>
        <v/>
      </c>
      <c r="K286">
        <f>IF(J286="","",IF(J286&lt;Settings!$B$5,Settings!$B$3,Settings!$B$4))</f>
        <v/>
      </c>
      <c r="L286">
        <f>IF(G286="","",G286*Settings!$B$2)</f>
        <v/>
      </c>
      <c r="M286">
        <f>IF(OR(G286="",J286=""),"",G286-L286-J286-K286-Settings!$B$6)</f>
        <v/>
      </c>
      <c r="N286">
        <f>IF(M286="","",IF(H286="Y","OK",IF(M286&gt;=Settings!$B$8,"MATCH","HOLD")))</f>
        <v/>
      </c>
    </row>
    <row r="287">
      <c r="E287">
        <f>IF(D287="","",Settings!$B$6)</f>
        <v/>
      </c>
      <c r="F287">
        <f>IF(D287="","",D287+E287)</f>
        <v/>
      </c>
      <c r="I287">
        <f>IF(G287="","",G287-Settings!$B$6)</f>
        <v/>
      </c>
      <c r="K287">
        <f>IF(J287="","",IF(J287&lt;Settings!$B$5,Settings!$B$3,Settings!$B$4))</f>
        <v/>
      </c>
      <c r="L287">
        <f>IF(G287="","",G287*Settings!$B$2)</f>
        <v/>
      </c>
      <c r="M287">
        <f>IF(OR(G287="",J287=""),"",G287-L287-J287-K287-Settings!$B$6)</f>
        <v/>
      </c>
      <c r="N287">
        <f>IF(M287="","",IF(H287="Y","OK",IF(M287&gt;=Settings!$B$8,"MATCH","HOLD")))</f>
        <v/>
      </c>
    </row>
    <row r="288">
      <c r="E288">
        <f>IF(D288="","",Settings!$B$6)</f>
        <v/>
      </c>
      <c r="F288">
        <f>IF(D288="","",D288+E288)</f>
        <v/>
      </c>
      <c r="I288">
        <f>IF(G288="","",G288-Settings!$B$6)</f>
        <v/>
      </c>
      <c r="K288">
        <f>IF(J288="","",IF(J288&lt;Settings!$B$5,Settings!$B$3,Settings!$B$4))</f>
        <v/>
      </c>
      <c r="L288">
        <f>IF(G288="","",G288*Settings!$B$2)</f>
        <v/>
      </c>
      <c r="M288">
        <f>IF(OR(G288="",J288=""),"",G288-L288-J288-K288-Settings!$B$6)</f>
        <v/>
      </c>
      <c r="N288">
        <f>IF(M288="","",IF(H288="Y","OK",IF(M288&gt;=Settings!$B$8,"MATCH","HOLD")))</f>
        <v/>
      </c>
    </row>
    <row r="289">
      <c r="E289">
        <f>IF(D289="","",Settings!$B$6)</f>
        <v/>
      </c>
      <c r="F289">
        <f>IF(D289="","",D289+E289)</f>
        <v/>
      </c>
      <c r="I289">
        <f>IF(G289="","",G289-Settings!$B$6)</f>
        <v/>
      </c>
      <c r="K289">
        <f>IF(J289="","",IF(J289&lt;Settings!$B$5,Settings!$B$3,Settings!$B$4))</f>
        <v/>
      </c>
      <c r="L289">
        <f>IF(G289="","",G289*Settings!$B$2)</f>
        <v/>
      </c>
      <c r="M289">
        <f>IF(OR(G289="",J289=""),"",G289-L289-J289-K289-Settings!$B$6)</f>
        <v/>
      </c>
      <c r="N289">
        <f>IF(M289="","",IF(H289="Y","OK",IF(M289&gt;=Settings!$B$8,"MATCH","HOLD")))</f>
        <v/>
      </c>
    </row>
    <row r="290">
      <c r="E290">
        <f>IF(D290="","",Settings!$B$6)</f>
        <v/>
      </c>
      <c r="F290">
        <f>IF(D290="","",D290+E290)</f>
        <v/>
      </c>
      <c r="I290">
        <f>IF(G290="","",G290-Settings!$B$6)</f>
        <v/>
      </c>
      <c r="K290">
        <f>IF(J290="","",IF(J290&lt;Settings!$B$5,Settings!$B$3,Settings!$B$4))</f>
        <v/>
      </c>
      <c r="L290">
        <f>IF(G290="","",G290*Settings!$B$2)</f>
        <v/>
      </c>
      <c r="M290">
        <f>IF(OR(G290="",J290=""),"",G290-L290-J290-K290-Settings!$B$6)</f>
        <v/>
      </c>
      <c r="N290">
        <f>IF(M290="","",IF(H290="Y","OK",IF(M290&gt;=Settings!$B$8,"MATCH","HOLD")))</f>
        <v/>
      </c>
    </row>
    <row r="291">
      <c r="E291">
        <f>IF(D291="","",Settings!$B$6)</f>
        <v/>
      </c>
      <c r="F291">
        <f>IF(D291="","",D291+E291)</f>
        <v/>
      </c>
      <c r="I291">
        <f>IF(G291="","",G291-Settings!$B$6)</f>
        <v/>
      </c>
      <c r="K291">
        <f>IF(J291="","",IF(J291&lt;Settings!$B$5,Settings!$B$3,Settings!$B$4))</f>
        <v/>
      </c>
      <c r="L291">
        <f>IF(G291="","",G291*Settings!$B$2)</f>
        <v/>
      </c>
      <c r="M291">
        <f>IF(OR(G291="",J291=""),"",G291-L291-J291-K291-Settings!$B$6)</f>
        <v/>
      </c>
      <c r="N291">
        <f>IF(M291="","",IF(H291="Y","OK",IF(M291&gt;=Settings!$B$8,"MATCH","HOLD")))</f>
        <v/>
      </c>
    </row>
    <row r="292">
      <c r="E292">
        <f>IF(D292="","",Settings!$B$6)</f>
        <v/>
      </c>
      <c r="F292">
        <f>IF(D292="","",D292+E292)</f>
        <v/>
      </c>
      <c r="I292">
        <f>IF(G292="","",G292-Settings!$B$6)</f>
        <v/>
      </c>
      <c r="K292">
        <f>IF(J292="","",IF(J292&lt;Settings!$B$5,Settings!$B$3,Settings!$B$4))</f>
        <v/>
      </c>
      <c r="L292">
        <f>IF(G292="","",G292*Settings!$B$2)</f>
        <v/>
      </c>
      <c r="M292">
        <f>IF(OR(G292="",J292=""),"",G292-L292-J292-K292-Settings!$B$6)</f>
        <v/>
      </c>
      <c r="N292">
        <f>IF(M292="","",IF(H292="Y","OK",IF(M292&gt;=Settings!$B$8,"MATCH","HOLD")))</f>
        <v/>
      </c>
    </row>
    <row r="293">
      <c r="E293">
        <f>IF(D293="","",Settings!$B$6)</f>
        <v/>
      </c>
      <c r="F293">
        <f>IF(D293="","",D293+E293)</f>
        <v/>
      </c>
      <c r="I293">
        <f>IF(G293="","",G293-Settings!$B$6)</f>
        <v/>
      </c>
      <c r="K293">
        <f>IF(J293="","",IF(J293&lt;Settings!$B$5,Settings!$B$3,Settings!$B$4))</f>
        <v/>
      </c>
      <c r="L293">
        <f>IF(G293="","",G293*Settings!$B$2)</f>
        <v/>
      </c>
      <c r="M293">
        <f>IF(OR(G293="",J293=""),"",G293-L293-J293-K293-Settings!$B$6)</f>
        <v/>
      </c>
      <c r="N293">
        <f>IF(M293="","",IF(H293="Y","OK",IF(M293&gt;=Settings!$B$8,"MATCH","HOLD")))</f>
        <v/>
      </c>
    </row>
    <row r="294">
      <c r="E294">
        <f>IF(D294="","",Settings!$B$6)</f>
        <v/>
      </c>
      <c r="F294">
        <f>IF(D294="","",D294+E294)</f>
        <v/>
      </c>
      <c r="I294">
        <f>IF(G294="","",G294-Settings!$B$6)</f>
        <v/>
      </c>
      <c r="K294">
        <f>IF(J294="","",IF(J294&lt;Settings!$B$5,Settings!$B$3,Settings!$B$4))</f>
        <v/>
      </c>
      <c r="L294">
        <f>IF(G294="","",G294*Settings!$B$2)</f>
        <v/>
      </c>
      <c r="M294">
        <f>IF(OR(G294="",J294=""),"",G294-L294-J294-K294-Settings!$B$6)</f>
        <v/>
      </c>
      <c r="N294">
        <f>IF(M294="","",IF(H294="Y","OK",IF(M294&gt;=Settings!$B$8,"MATCH","HOLD")))</f>
        <v/>
      </c>
    </row>
    <row r="295">
      <c r="E295">
        <f>IF(D295="","",Settings!$B$6)</f>
        <v/>
      </c>
      <c r="F295">
        <f>IF(D295="","",D295+E295)</f>
        <v/>
      </c>
      <c r="I295">
        <f>IF(G295="","",G295-Settings!$B$6)</f>
        <v/>
      </c>
      <c r="K295">
        <f>IF(J295="","",IF(J295&lt;Settings!$B$5,Settings!$B$3,Settings!$B$4))</f>
        <v/>
      </c>
      <c r="L295">
        <f>IF(G295="","",G295*Settings!$B$2)</f>
        <v/>
      </c>
      <c r="M295">
        <f>IF(OR(G295="",J295=""),"",G295-L295-J295-K295-Settings!$B$6)</f>
        <v/>
      </c>
      <c r="N295">
        <f>IF(M295="","",IF(H295="Y","OK",IF(M295&gt;=Settings!$B$8,"MATCH","HOLD")))</f>
        <v/>
      </c>
    </row>
    <row r="296">
      <c r="E296">
        <f>IF(D296="","",Settings!$B$6)</f>
        <v/>
      </c>
      <c r="F296">
        <f>IF(D296="","",D296+E296)</f>
        <v/>
      </c>
      <c r="I296">
        <f>IF(G296="","",G296-Settings!$B$6)</f>
        <v/>
      </c>
      <c r="K296">
        <f>IF(J296="","",IF(J296&lt;Settings!$B$5,Settings!$B$3,Settings!$B$4))</f>
        <v/>
      </c>
      <c r="L296">
        <f>IF(G296="","",G296*Settings!$B$2)</f>
        <v/>
      </c>
      <c r="M296">
        <f>IF(OR(G296="",J296=""),"",G296-L296-J296-K296-Settings!$B$6)</f>
        <v/>
      </c>
      <c r="N296">
        <f>IF(M296="","",IF(H296="Y","OK",IF(M296&gt;=Settings!$B$8,"MATCH","HOLD")))</f>
        <v/>
      </c>
    </row>
    <row r="297">
      <c r="E297">
        <f>IF(D297="","",Settings!$B$6)</f>
        <v/>
      </c>
      <c r="F297">
        <f>IF(D297="","",D297+E297)</f>
        <v/>
      </c>
      <c r="I297">
        <f>IF(G297="","",G297-Settings!$B$6)</f>
        <v/>
      </c>
      <c r="K297">
        <f>IF(J297="","",IF(J297&lt;Settings!$B$5,Settings!$B$3,Settings!$B$4))</f>
        <v/>
      </c>
      <c r="L297">
        <f>IF(G297="","",G297*Settings!$B$2)</f>
        <v/>
      </c>
      <c r="M297">
        <f>IF(OR(G297="",J297=""),"",G297-L297-J297-K297-Settings!$B$6)</f>
        <v/>
      </c>
      <c r="N297">
        <f>IF(M297="","",IF(H297="Y","OK",IF(M297&gt;=Settings!$B$8,"MATCH","HOLD")))</f>
        <v/>
      </c>
    </row>
    <row r="298">
      <c r="E298">
        <f>IF(D298="","",Settings!$B$6)</f>
        <v/>
      </c>
      <c r="F298">
        <f>IF(D298="","",D298+E298)</f>
        <v/>
      </c>
      <c r="I298">
        <f>IF(G298="","",G298-Settings!$B$6)</f>
        <v/>
      </c>
      <c r="K298">
        <f>IF(J298="","",IF(J298&lt;Settings!$B$5,Settings!$B$3,Settings!$B$4))</f>
        <v/>
      </c>
      <c r="L298">
        <f>IF(G298="","",G298*Settings!$B$2)</f>
        <v/>
      </c>
      <c r="M298">
        <f>IF(OR(G298="",J298=""),"",G298-L298-J298-K298-Settings!$B$6)</f>
        <v/>
      </c>
      <c r="N298">
        <f>IF(M298="","",IF(H298="Y","OK",IF(M298&gt;=Settings!$B$8,"MATCH","HOLD")))</f>
        <v/>
      </c>
    </row>
    <row r="299">
      <c r="E299">
        <f>IF(D299="","",Settings!$B$6)</f>
        <v/>
      </c>
      <c r="F299">
        <f>IF(D299="","",D299+E299)</f>
        <v/>
      </c>
      <c r="I299">
        <f>IF(G299="","",G299-Settings!$B$6)</f>
        <v/>
      </c>
      <c r="K299">
        <f>IF(J299="","",IF(J299&lt;Settings!$B$5,Settings!$B$3,Settings!$B$4))</f>
        <v/>
      </c>
      <c r="L299">
        <f>IF(G299="","",G299*Settings!$B$2)</f>
        <v/>
      </c>
      <c r="M299">
        <f>IF(OR(G299="",J299=""),"",G299-L299-J299-K299-Settings!$B$6)</f>
        <v/>
      </c>
      <c r="N299">
        <f>IF(M299="","",IF(H299="Y","OK",IF(M299&gt;=Settings!$B$8,"MATCH","HOLD")))</f>
        <v/>
      </c>
    </row>
    <row r="300">
      <c r="E300">
        <f>IF(D300="","",Settings!$B$6)</f>
        <v/>
      </c>
      <c r="F300">
        <f>IF(D300="","",D300+E300)</f>
        <v/>
      </c>
      <c r="I300">
        <f>IF(G300="","",G300-Settings!$B$6)</f>
        <v/>
      </c>
      <c r="K300">
        <f>IF(J300="","",IF(J300&lt;Settings!$B$5,Settings!$B$3,Settings!$B$4))</f>
        <v/>
      </c>
      <c r="L300">
        <f>IF(G300="","",G300*Settings!$B$2)</f>
        <v/>
      </c>
      <c r="M300">
        <f>IF(OR(G300="",J300=""),"",G300-L300-J300-K300-Settings!$B$6)</f>
        <v/>
      </c>
      <c r="N300">
        <f>IF(M300="","",IF(H300="Y","OK",IF(M300&gt;=Settings!$B$8,"MATCH","HOLD")))</f>
        <v/>
      </c>
    </row>
    <row r="301">
      <c r="E301">
        <f>IF(D301="","",Settings!$B$6)</f>
        <v/>
      </c>
      <c r="F301">
        <f>IF(D301="","",D301+E301)</f>
        <v/>
      </c>
      <c r="I301">
        <f>IF(G301="","",G301-Settings!$B$6)</f>
        <v/>
      </c>
      <c r="K301">
        <f>IF(J301="","",IF(J301&lt;Settings!$B$5,Settings!$B$3,Settings!$B$4))</f>
        <v/>
      </c>
      <c r="L301">
        <f>IF(G301="","",G301*Settings!$B$2)</f>
        <v/>
      </c>
      <c r="M301">
        <f>IF(OR(G301="",J301=""),"",G301-L301-J301-K301-Settings!$B$6)</f>
        <v/>
      </c>
      <c r="N301">
        <f>IF(M301="","",IF(H301="Y","OK",IF(M301&gt;=Settings!$B$8,"MATCH","HOLD")))</f>
        <v/>
      </c>
    </row>
    <row r="302">
      <c r="E302">
        <f>IF(D302="","",Settings!$B$6)</f>
        <v/>
      </c>
      <c r="F302">
        <f>IF(D302="","",D302+E302)</f>
        <v/>
      </c>
      <c r="I302">
        <f>IF(G302="","",G302-Settings!$B$6)</f>
        <v/>
      </c>
      <c r="K302">
        <f>IF(J302="","",IF(J302&lt;Settings!$B$5,Settings!$B$3,Settings!$B$4))</f>
        <v/>
      </c>
      <c r="L302">
        <f>IF(G302="","",G302*Settings!$B$2)</f>
        <v/>
      </c>
      <c r="M302">
        <f>IF(OR(G302="",J302=""),"",G302-L302-J302-K302-Settings!$B$6)</f>
        <v/>
      </c>
      <c r="N302">
        <f>IF(M302="","",IF(H302="Y","OK",IF(M302&gt;=Settings!$B$8,"MATCH","HOLD")))</f>
        <v/>
      </c>
    </row>
    <row r="303">
      <c r="E303">
        <f>IF(D303="","",Settings!$B$6)</f>
        <v/>
      </c>
      <c r="F303">
        <f>IF(D303="","",D303+E303)</f>
        <v/>
      </c>
      <c r="I303">
        <f>IF(G303="","",G303-Settings!$B$6)</f>
        <v/>
      </c>
      <c r="K303">
        <f>IF(J303="","",IF(J303&lt;Settings!$B$5,Settings!$B$3,Settings!$B$4))</f>
        <v/>
      </c>
      <c r="L303">
        <f>IF(G303="","",G303*Settings!$B$2)</f>
        <v/>
      </c>
      <c r="M303">
        <f>IF(OR(G303="",J303=""),"",G303-L303-J303-K303-Settings!$B$6)</f>
        <v/>
      </c>
      <c r="N303">
        <f>IF(M303="","",IF(H303="Y","OK",IF(M303&gt;=Settings!$B$8,"MATCH","HOLD")))</f>
        <v/>
      </c>
    </row>
    <row r="304">
      <c r="E304">
        <f>IF(D304="","",Settings!$B$6)</f>
        <v/>
      </c>
      <c r="F304">
        <f>IF(D304="","",D304+E304)</f>
        <v/>
      </c>
      <c r="I304">
        <f>IF(G304="","",G304-Settings!$B$6)</f>
        <v/>
      </c>
      <c r="K304">
        <f>IF(J304="","",IF(J304&lt;Settings!$B$5,Settings!$B$3,Settings!$B$4))</f>
        <v/>
      </c>
      <c r="L304">
        <f>IF(G304="","",G304*Settings!$B$2)</f>
        <v/>
      </c>
      <c r="M304">
        <f>IF(OR(G304="",J304=""),"",G304-L304-J304-K304-Settings!$B$6)</f>
        <v/>
      </c>
      <c r="N304">
        <f>IF(M304="","",IF(H304="Y","OK",IF(M304&gt;=Settings!$B$8,"MATCH","HOLD")))</f>
        <v/>
      </c>
    </row>
    <row r="305">
      <c r="E305">
        <f>IF(D305="","",Settings!$B$6)</f>
        <v/>
      </c>
      <c r="F305">
        <f>IF(D305="","",D305+E305)</f>
        <v/>
      </c>
      <c r="I305">
        <f>IF(G305="","",G305-Settings!$B$6)</f>
        <v/>
      </c>
      <c r="K305">
        <f>IF(J305="","",IF(J305&lt;Settings!$B$5,Settings!$B$3,Settings!$B$4))</f>
        <v/>
      </c>
      <c r="L305">
        <f>IF(G305="","",G305*Settings!$B$2)</f>
        <v/>
      </c>
      <c r="M305">
        <f>IF(OR(G305="",J305=""),"",G305-L305-J305-K305-Settings!$B$6)</f>
        <v/>
      </c>
      <c r="N305">
        <f>IF(M305="","",IF(H305="Y","OK",IF(M305&gt;=Settings!$B$8,"MATCH","HOLD")))</f>
        <v/>
      </c>
    </row>
    <row r="306">
      <c r="E306">
        <f>IF(D306="","",Settings!$B$6)</f>
        <v/>
      </c>
      <c r="F306">
        <f>IF(D306="","",D306+E306)</f>
        <v/>
      </c>
      <c r="I306">
        <f>IF(G306="","",G306-Settings!$B$6)</f>
        <v/>
      </c>
      <c r="K306">
        <f>IF(J306="","",IF(J306&lt;Settings!$B$5,Settings!$B$3,Settings!$B$4))</f>
        <v/>
      </c>
      <c r="L306">
        <f>IF(G306="","",G306*Settings!$B$2)</f>
        <v/>
      </c>
      <c r="M306">
        <f>IF(OR(G306="",J306=""),"",G306-L306-J306-K306-Settings!$B$6)</f>
        <v/>
      </c>
      <c r="N306">
        <f>IF(M306="","",IF(H306="Y","OK",IF(M306&gt;=Settings!$B$8,"MATCH","HOLD")))</f>
        <v/>
      </c>
    </row>
    <row r="307">
      <c r="E307">
        <f>IF(D307="","",Settings!$B$6)</f>
        <v/>
      </c>
      <c r="F307">
        <f>IF(D307="","",D307+E307)</f>
        <v/>
      </c>
      <c r="I307">
        <f>IF(G307="","",G307-Settings!$B$6)</f>
        <v/>
      </c>
      <c r="K307">
        <f>IF(J307="","",IF(J307&lt;Settings!$B$5,Settings!$B$3,Settings!$B$4))</f>
        <v/>
      </c>
      <c r="L307">
        <f>IF(G307="","",G307*Settings!$B$2)</f>
        <v/>
      </c>
      <c r="M307">
        <f>IF(OR(G307="",J307=""),"",G307-L307-J307-K307-Settings!$B$6)</f>
        <v/>
      </c>
      <c r="N307">
        <f>IF(M307="","",IF(H307="Y","OK",IF(M307&gt;=Settings!$B$8,"MATCH","HOLD")))</f>
        <v/>
      </c>
    </row>
    <row r="308">
      <c r="E308">
        <f>IF(D308="","",Settings!$B$6)</f>
        <v/>
      </c>
      <c r="F308">
        <f>IF(D308="","",D308+E308)</f>
        <v/>
      </c>
      <c r="I308">
        <f>IF(G308="","",G308-Settings!$B$6)</f>
        <v/>
      </c>
      <c r="K308">
        <f>IF(J308="","",IF(J308&lt;Settings!$B$5,Settings!$B$3,Settings!$B$4))</f>
        <v/>
      </c>
      <c r="L308">
        <f>IF(G308="","",G308*Settings!$B$2)</f>
        <v/>
      </c>
      <c r="M308">
        <f>IF(OR(G308="",J308=""),"",G308-L308-J308-K308-Settings!$B$6)</f>
        <v/>
      </c>
      <c r="N308">
        <f>IF(M308="","",IF(H308="Y","OK",IF(M308&gt;=Settings!$B$8,"MATCH","HOLD")))</f>
        <v/>
      </c>
    </row>
    <row r="309">
      <c r="E309">
        <f>IF(D309="","",Settings!$B$6)</f>
        <v/>
      </c>
      <c r="F309">
        <f>IF(D309="","",D309+E309)</f>
        <v/>
      </c>
      <c r="I309">
        <f>IF(G309="","",G309-Settings!$B$6)</f>
        <v/>
      </c>
      <c r="K309">
        <f>IF(J309="","",IF(J309&lt;Settings!$B$5,Settings!$B$3,Settings!$B$4))</f>
        <v/>
      </c>
      <c r="L309">
        <f>IF(G309="","",G309*Settings!$B$2)</f>
        <v/>
      </c>
      <c r="M309">
        <f>IF(OR(G309="",J309=""),"",G309-L309-J309-K309-Settings!$B$6)</f>
        <v/>
      </c>
      <c r="N309">
        <f>IF(M309="","",IF(H309="Y","OK",IF(M309&gt;=Settings!$B$8,"MATCH","HOLD")))</f>
        <v/>
      </c>
    </row>
    <row r="310">
      <c r="E310">
        <f>IF(D310="","",Settings!$B$6)</f>
        <v/>
      </c>
      <c r="F310">
        <f>IF(D310="","",D310+E310)</f>
        <v/>
      </c>
      <c r="I310">
        <f>IF(G310="","",G310-Settings!$B$6)</f>
        <v/>
      </c>
      <c r="K310">
        <f>IF(J310="","",IF(J310&lt;Settings!$B$5,Settings!$B$3,Settings!$B$4))</f>
        <v/>
      </c>
      <c r="L310">
        <f>IF(G310="","",G310*Settings!$B$2)</f>
        <v/>
      </c>
      <c r="M310">
        <f>IF(OR(G310="",J310=""),"",G310-L310-J310-K310-Settings!$B$6)</f>
        <v/>
      </c>
      <c r="N310">
        <f>IF(M310="","",IF(H310="Y","OK",IF(M310&gt;=Settings!$B$8,"MATCH","HOLD")))</f>
        <v/>
      </c>
    </row>
    <row r="311">
      <c r="E311">
        <f>IF(D311="","",Settings!$B$6)</f>
        <v/>
      </c>
      <c r="F311">
        <f>IF(D311="","",D311+E311)</f>
        <v/>
      </c>
      <c r="I311">
        <f>IF(G311="","",G311-Settings!$B$6)</f>
        <v/>
      </c>
      <c r="K311">
        <f>IF(J311="","",IF(J311&lt;Settings!$B$5,Settings!$B$3,Settings!$B$4))</f>
        <v/>
      </c>
      <c r="L311">
        <f>IF(G311="","",G311*Settings!$B$2)</f>
        <v/>
      </c>
      <c r="M311">
        <f>IF(OR(G311="",J311=""),"",G311-L311-J311-K311-Settings!$B$6)</f>
        <v/>
      </c>
      <c r="N311">
        <f>IF(M311="","",IF(H311="Y","OK",IF(M311&gt;=Settings!$B$8,"MATCH","HOLD")))</f>
        <v/>
      </c>
    </row>
    <row r="312">
      <c r="E312">
        <f>IF(D312="","",Settings!$B$6)</f>
        <v/>
      </c>
      <c r="F312">
        <f>IF(D312="","",D312+E312)</f>
        <v/>
      </c>
      <c r="I312">
        <f>IF(G312="","",G312-Settings!$B$6)</f>
        <v/>
      </c>
      <c r="K312">
        <f>IF(J312="","",IF(J312&lt;Settings!$B$5,Settings!$B$3,Settings!$B$4))</f>
        <v/>
      </c>
      <c r="L312">
        <f>IF(G312="","",G312*Settings!$B$2)</f>
        <v/>
      </c>
      <c r="M312">
        <f>IF(OR(G312="",J312=""),"",G312-L312-J312-K312-Settings!$B$6)</f>
        <v/>
      </c>
      <c r="N312">
        <f>IF(M312="","",IF(H312="Y","OK",IF(M312&gt;=Settings!$B$8,"MATCH","HOLD")))</f>
        <v/>
      </c>
    </row>
    <row r="313">
      <c r="E313">
        <f>IF(D313="","",Settings!$B$6)</f>
        <v/>
      </c>
      <c r="F313">
        <f>IF(D313="","",D313+E313)</f>
        <v/>
      </c>
      <c r="I313">
        <f>IF(G313="","",G313-Settings!$B$6)</f>
        <v/>
      </c>
      <c r="K313">
        <f>IF(J313="","",IF(J313&lt;Settings!$B$5,Settings!$B$3,Settings!$B$4))</f>
        <v/>
      </c>
      <c r="L313">
        <f>IF(G313="","",G313*Settings!$B$2)</f>
        <v/>
      </c>
      <c r="M313">
        <f>IF(OR(G313="",J313=""),"",G313-L313-J313-K313-Settings!$B$6)</f>
        <v/>
      </c>
      <c r="N313">
        <f>IF(M313="","",IF(H313="Y","OK",IF(M313&gt;=Settings!$B$8,"MATCH","HOLD")))</f>
        <v/>
      </c>
    </row>
    <row r="314">
      <c r="E314">
        <f>IF(D314="","",Settings!$B$6)</f>
        <v/>
      </c>
      <c r="F314">
        <f>IF(D314="","",D314+E314)</f>
        <v/>
      </c>
      <c r="I314">
        <f>IF(G314="","",G314-Settings!$B$6)</f>
        <v/>
      </c>
      <c r="K314">
        <f>IF(J314="","",IF(J314&lt;Settings!$B$5,Settings!$B$3,Settings!$B$4))</f>
        <v/>
      </c>
      <c r="L314">
        <f>IF(G314="","",G314*Settings!$B$2)</f>
        <v/>
      </c>
      <c r="M314">
        <f>IF(OR(G314="",J314=""),"",G314-L314-J314-K314-Settings!$B$6)</f>
        <v/>
      </c>
      <c r="N314">
        <f>IF(M314="","",IF(H314="Y","OK",IF(M314&gt;=Settings!$B$8,"MATCH","HOLD")))</f>
        <v/>
      </c>
    </row>
    <row r="315">
      <c r="E315">
        <f>IF(D315="","",Settings!$B$6)</f>
        <v/>
      </c>
      <c r="F315">
        <f>IF(D315="","",D315+E315)</f>
        <v/>
      </c>
      <c r="I315">
        <f>IF(G315="","",G315-Settings!$B$6)</f>
        <v/>
      </c>
      <c r="K315">
        <f>IF(J315="","",IF(J315&lt;Settings!$B$5,Settings!$B$3,Settings!$B$4))</f>
        <v/>
      </c>
      <c r="L315">
        <f>IF(G315="","",G315*Settings!$B$2)</f>
        <v/>
      </c>
      <c r="M315">
        <f>IF(OR(G315="",J315=""),"",G315-L315-J315-K315-Settings!$B$6)</f>
        <v/>
      </c>
      <c r="N315">
        <f>IF(M315="","",IF(H315="Y","OK",IF(M315&gt;=Settings!$B$8,"MATCH","HOLD")))</f>
        <v/>
      </c>
    </row>
    <row r="316">
      <c r="E316">
        <f>IF(D316="","",Settings!$B$6)</f>
        <v/>
      </c>
      <c r="F316">
        <f>IF(D316="","",D316+E316)</f>
        <v/>
      </c>
      <c r="I316">
        <f>IF(G316="","",G316-Settings!$B$6)</f>
        <v/>
      </c>
      <c r="K316">
        <f>IF(J316="","",IF(J316&lt;Settings!$B$5,Settings!$B$3,Settings!$B$4))</f>
        <v/>
      </c>
      <c r="L316">
        <f>IF(G316="","",G316*Settings!$B$2)</f>
        <v/>
      </c>
      <c r="M316">
        <f>IF(OR(G316="",J316=""),"",G316-L316-J316-K316-Settings!$B$6)</f>
        <v/>
      </c>
      <c r="N316">
        <f>IF(M316="","",IF(H316="Y","OK",IF(M316&gt;=Settings!$B$8,"MATCH","HOLD")))</f>
        <v/>
      </c>
    </row>
    <row r="317">
      <c r="E317">
        <f>IF(D317="","",Settings!$B$6)</f>
        <v/>
      </c>
      <c r="F317">
        <f>IF(D317="","",D317+E317)</f>
        <v/>
      </c>
      <c r="I317">
        <f>IF(G317="","",G317-Settings!$B$6)</f>
        <v/>
      </c>
      <c r="K317">
        <f>IF(J317="","",IF(J317&lt;Settings!$B$5,Settings!$B$3,Settings!$B$4))</f>
        <v/>
      </c>
      <c r="L317">
        <f>IF(G317="","",G317*Settings!$B$2)</f>
        <v/>
      </c>
      <c r="M317">
        <f>IF(OR(G317="",J317=""),"",G317-L317-J317-K317-Settings!$B$6)</f>
        <v/>
      </c>
      <c r="N317">
        <f>IF(M317="","",IF(H317="Y","OK",IF(M317&gt;=Settings!$B$8,"MATCH","HOLD")))</f>
        <v/>
      </c>
    </row>
    <row r="318">
      <c r="E318">
        <f>IF(D318="","",Settings!$B$6)</f>
        <v/>
      </c>
      <c r="F318">
        <f>IF(D318="","",D318+E318)</f>
        <v/>
      </c>
      <c r="I318">
        <f>IF(G318="","",G318-Settings!$B$6)</f>
        <v/>
      </c>
      <c r="K318">
        <f>IF(J318="","",IF(J318&lt;Settings!$B$5,Settings!$B$3,Settings!$B$4))</f>
        <v/>
      </c>
      <c r="L318">
        <f>IF(G318="","",G318*Settings!$B$2)</f>
        <v/>
      </c>
      <c r="M318">
        <f>IF(OR(G318="",J318=""),"",G318-L318-J318-K318-Settings!$B$6)</f>
        <v/>
      </c>
      <c r="N318">
        <f>IF(M318="","",IF(H318="Y","OK",IF(M318&gt;=Settings!$B$8,"MATCH","HOLD")))</f>
        <v/>
      </c>
    </row>
    <row r="319">
      <c r="E319">
        <f>IF(D319="","",Settings!$B$6)</f>
        <v/>
      </c>
      <c r="F319">
        <f>IF(D319="","",D319+E319)</f>
        <v/>
      </c>
      <c r="I319">
        <f>IF(G319="","",G319-Settings!$B$6)</f>
        <v/>
      </c>
      <c r="K319">
        <f>IF(J319="","",IF(J319&lt;Settings!$B$5,Settings!$B$3,Settings!$B$4))</f>
        <v/>
      </c>
      <c r="L319">
        <f>IF(G319="","",G319*Settings!$B$2)</f>
        <v/>
      </c>
      <c r="M319">
        <f>IF(OR(G319="",J319=""),"",G319-L319-J319-K319-Settings!$B$6)</f>
        <v/>
      </c>
      <c r="N319">
        <f>IF(M319="","",IF(H319="Y","OK",IF(M319&gt;=Settings!$B$8,"MATCH","HOLD")))</f>
        <v/>
      </c>
    </row>
    <row r="320">
      <c r="E320">
        <f>IF(D320="","",Settings!$B$6)</f>
        <v/>
      </c>
      <c r="F320">
        <f>IF(D320="","",D320+E320)</f>
        <v/>
      </c>
      <c r="I320">
        <f>IF(G320="","",G320-Settings!$B$6)</f>
        <v/>
      </c>
      <c r="K320">
        <f>IF(J320="","",IF(J320&lt;Settings!$B$5,Settings!$B$3,Settings!$B$4))</f>
        <v/>
      </c>
      <c r="L320">
        <f>IF(G320="","",G320*Settings!$B$2)</f>
        <v/>
      </c>
      <c r="M320">
        <f>IF(OR(G320="",J320=""),"",G320-L320-J320-K320-Settings!$B$6)</f>
        <v/>
      </c>
      <c r="N320">
        <f>IF(M320="","",IF(H320="Y","OK",IF(M320&gt;=Settings!$B$8,"MATCH","HOLD")))</f>
        <v/>
      </c>
    </row>
    <row r="321">
      <c r="E321">
        <f>IF(D321="","",Settings!$B$6)</f>
        <v/>
      </c>
      <c r="F321">
        <f>IF(D321="","",D321+E321)</f>
        <v/>
      </c>
      <c r="I321">
        <f>IF(G321="","",G321-Settings!$B$6)</f>
        <v/>
      </c>
      <c r="K321">
        <f>IF(J321="","",IF(J321&lt;Settings!$B$5,Settings!$B$3,Settings!$B$4))</f>
        <v/>
      </c>
      <c r="L321">
        <f>IF(G321="","",G321*Settings!$B$2)</f>
        <v/>
      </c>
      <c r="M321">
        <f>IF(OR(G321="",J321=""),"",G321-L321-J321-K321-Settings!$B$6)</f>
        <v/>
      </c>
      <c r="N321">
        <f>IF(M321="","",IF(H321="Y","OK",IF(M321&gt;=Settings!$B$8,"MATCH","HOLD")))</f>
        <v/>
      </c>
    </row>
    <row r="322">
      <c r="E322">
        <f>IF(D322="","",Settings!$B$6)</f>
        <v/>
      </c>
      <c r="F322">
        <f>IF(D322="","",D322+E322)</f>
        <v/>
      </c>
      <c r="I322">
        <f>IF(G322="","",G322-Settings!$B$6)</f>
        <v/>
      </c>
      <c r="K322">
        <f>IF(J322="","",IF(J322&lt;Settings!$B$5,Settings!$B$3,Settings!$B$4))</f>
        <v/>
      </c>
      <c r="L322">
        <f>IF(G322="","",G322*Settings!$B$2)</f>
        <v/>
      </c>
      <c r="M322">
        <f>IF(OR(G322="",J322=""),"",G322-L322-J322-K322-Settings!$B$6)</f>
        <v/>
      </c>
      <c r="N322">
        <f>IF(M322="","",IF(H322="Y","OK",IF(M322&gt;=Settings!$B$8,"MATCH","HOLD")))</f>
        <v/>
      </c>
    </row>
    <row r="323">
      <c r="E323">
        <f>IF(D323="","",Settings!$B$6)</f>
        <v/>
      </c>
      <c r="F323">
        <f>IF(D323="","",D323+E323)</f>
        <v/>
      </c>
      <c r="I323">
        <f>IF(G323="","",G323-Settings!$B$6)</f>
        <v/>
      </c>
      <c r="K323">
        <f>IF(J323="","",IF(J323&lt;Settings!$B$5,Settings!$B$3,Settings!$B$4))</f>
        <v/>
      </c>
      <c r="L323">
        <f>IF(G323="","",G323*Settings!$B$2)</f>
        <v/>
      </c>
      <c r="M323">
        <f>IF(OR(G323="",J323=""),"",G323-L323-J323-K323-Settings!$B$6)</f>
        <v/>
      </c>
      <c r="N323">
        <f>IF(M323="","",IF(H323="Y","OK",IF(M323&gt;=Settings!$B$8,"MATCH","HOLD")))</f>
        <v/>
      </c>
    </row>
    <row r="324">
      <c r="E324">
        <f>IF(D324="","",Settings!$B$6)</f>
        <v/>
      </c>
      <c r="F324">
        <f>IF(D324="","",D324+E324)</f>
        <v/>
      </c>
      <c r="I324">
        <f>IF(G324="","",G324-Settings!$B$6)</f>
        <v/>
      </c>
      <c r="K324">
        <f>IF(J324="","",IF(J324&lt;Settings!$B$5,Settings!$B$3,Settings!$B$4))</f>
        <v/>
      </c>
      <c r="L324">
        <f>IF(G324="","",G324*Settings!$B$2)</f>
        <v/>
      </c>
      <c r="M324">
        <f>IF(OR(G324="",J324=""),"",G324-L324-J324-K324-Settings!$B$6)</f>
        <v/>
      </c>
      <c r="N324">
        <f>IF(M324="","",IF(H324="Y","OK",IF(M324&gt;=Settings!$B$8,"MATCH","HOLD")))</f>
        <v/>
      </c>
    </row>
    <row r="325">
      <c r="E325">
        <f>IF(D325="","",Settings!$B$6)</f>
        <v/>
      </c>
      <c r="F325">
        <f>IF(D325="","",D325+E325)</f>
        <v/>
      </c>
      <c r="I325">
        <f>IF(G325="","",G325-Settings!$B$6)</f>
        <v/>
      </c>
      <c r="K325">
        <f>IF(J325="","",IF(J325&lt;Settings!$B$5,Settings!$B$3,Settings!$B$4))</f>
        <v/>
      </c>
      <c r="L325">
        <f>IF(G325="","",G325*Settings!$B$2)</f>
        <v/>
      </c>
      <c r="M325">
        <f>IF(OR(G325="",J325=""),"",G325-L325-J325-K325-Settings!$B$6)</f>
        <v/>
      </c>
      <c r="N325">
        <f>IF(M325="","",IF(H325="Y","OK",IF(M325&gt;=Settings!$B$8,"MATCH","HOLD")))</f>
        <v/>
      </c>
    </row>
    <row r="326">
      <c r="E326">
        <f>IF(D326="","",Settings!$B$6)</f>
        <v/>
      </c>
      <c r="F326">
        <f>IF(D326="","",D326+E326)</f>
        <v/>
      </c>
      <c r="I326">
        <f>IF(G326="","",G326-Settings!$B$6)</f>
        <v/>
      </c>
      <c r="K326">
        <f>IF(J326="","",IF(J326&lt;Settings!$B$5,Settings!$B$3,Settings!$B$4))</f>
        <v/>
      </c>
      <c r="L326">
        <f>IF(G326="","",G326*Settings!$B$2)</f>
        <v/>
      </c>
      <c r="M326">
        <f>IF(OR(G326="",J326=""),"",G326-L326-J326-K326-Settings!$B$6)</f>
        <v/>
      </c>
      <c r="N326">
        <f>IF(M326="","",IF(H326="Y","OK",IF(M326&gt;=Settings!$B$8,"MATCH","HOLD")))</f>
        <v/>
      </c>
    </row>
    <row r="327">
      <c r="E327">
        <f>IF(D327="","",Settings!$B$6)</f>
        <v/>
      </c>
      <c r="F327">
        <f>IF(D327="","",D327+E327)</f>
        <v/>
      </c>
      <c r="I327">
        <f>IF(G327="","",G327-Settings!$B$6)</f>
        <v/>
      </c>
      <c r="K327">
        <f>IF(J327="","",IF(J327&lt;Settings!$B$5,Settings!$B$3,Settings!$B$4))</f>
        <v/>
      </c>
      <c r="L327">
        <f>IF(G327="","",G327*Settings!$B$2)</f>
        <v/>
      </c>
      <c r="M327">
        <f>IF(OR(G327="",J327=""),"",G327-L327-J327-K327-Settings!$B$6)</f>
        <v/>
      </c>
      <c r="N327">
        <f>IF(M327="","",IF(H327="Y","OK",IF(M327&gt;=Settings!$B$8,"MATCH","HOLD")))</f>
        <v/>
      </c>
    </row>
    <row r="328">
      <c r="E328">
        <f>IF(D328="","",Settings!$B$6)</f>
        <v/>
      </c>
      <c r="F328">
        <f>IF(D328="","",D328+E328)</f>
        <v/>
      </c>
      <c r="I328">
        <f>IF(G328="","",G328-Settings!$B$6)</f>
        <v/>
      </c>
      <c r="K328">
        <f>IF(J328="","",IF(J328&lt;Settings!$B$5,Settings!$B$3,Settings!$B$4))</f>
        <v/>
      </c>
      <c r="L328">
        <f>IF(G328="","",G328*Settings!$B$2)</f>
        <v/>
      </c>
      <c r="M328">
        <f>IF(OR(G328="",J328=""),"",G328-L328-J328-K328-Settings!$B$6)</f>
        <v/>
      </c>
      <c r="N328">
        <f>IF(M328="","",IF(H328="Y","OK",IF(M328&gt;=Settings!$B$8,"MATCH","HOLD")))</f>
        <v/>
      </c>
    </row>
    <row r="329">
      <c r="E329">
        <f>IF(D329="","",Settings!$B$6)</f>
        <v/>
      </c>
      <c r="F329">
        <f>IF(D329="","",D329+E329)</f>
        <v/>
      </c>
      <c r="I329">
        <f>IF(G329="","",G329-Settings!$B$6)</f>
        <v/>
      </c>
      <c r="K329">
        <f>IF(J329="","",IF(J329&lt;Settings!$B$5,Settings!$B$3,Settings!$B$4))</f>
        <v/>
      </c>
      <c r="L329">
        <f>IF(G329="","",G329*Settings!$B$2)</f>
        <v/>
      </c>
      <c r="M329">
        <f>IF(OR(G329="",J329=""),"",G329-L329-J329-K329-Settings!$B$6)</f>
        <v/>
      </c>
      <c r="N329">
        <f>IF(M329="","",IF(H329="Y","OK",IF(M329&gt;=Settings!$B$8,"MATCH","HOLD")))</f>
        <v/>
      </c>
    </row>
    <row r="330">
      <c r="E330">
        <f>IF(D330="","",Settings!$B$6)</f>
        <v/>
      </c>
      <c r="F330">
        <f>IF(D330="","",D330+E330)</f>
        <v/>
      </c>
      <c r="I330">
        <f>IF(G330="","",G330-Settings!$B$6)</f>
        <v/>
      </c>
      <c r="K330">
        <f>IF(J330="","",IF(J330&lt;Settings!$B$5,Settings!$B$3,Settings!$B$4))</f>
        <v/>
      </c>
      <c r="L330">
        <f>IF(G330="","",G330*Settings!$B$2)</f>
        <v/>
      </c>
      <c r="M330">
        <f>IF(OR(G330="",J330=""),"",G330-L330-J330-K330-Settings!$B$6)</f>
        <v/>
      </c>
      <c r="N330">
        <f>IF(M330="","",IF(H330="Y","OK",IF(M330&gt;=Settings!$B$8,"MATCH","HOLD")))</f>
        <v/>
      </c>
    </row>
    <row r="331">
      <c r="E331">
        <f>IF(D331="","",Settings!$B$6)</f>
        <v/>
      </c>
      <c r="F331">
        <f>IF(D331="","",D331+E331)</f>
        <v/>
      </c>
      <c r="I331">
        <f>IF(G331="","",G331-Settings!$B$6)</f>
        <v/>
      </c>
      <c r="K331">
        <f>IF(J331="","",IF(J331&lt;Settings!$B$5,Settings!$B$3,Settings!$B$4))</f>
        <v/>
      </c>
      <c r="L331">
        <f>IF(G331="","",G331*Settings!$B$2)</f>
        <v/>
      </c>
      <c r="M331">
        <f>IF(OR(G331="",J331=""),"",G331-L331-J331-K331-Settings!$B$6)</f>
        <v/>
      </c>
      <c r="N331">
        <f>IF(M331="","",IF(H331="Y","OK",IF(M331&gt;=Settings!$B$8,"MATCH","HOLD")))</f>
        <v/>
      </c>
    </row>
    <row r="332">
      <c r="E332">
        <f>IF(D332="","",Settings!$B$6)</f>
        <v/>
      </c>
      <c r="F332">
        <f>IF(D332="","",D332+E332)</f>
        <v/>
      </c>
      <c r="I332">
        <f>IF(G332="","",G332-Settings!$B$6)</f>
        <v/>
      </c>
      <c r="K332">
        <f>IF(J332="","",IF(J332&lt;Settings!$B$5,Settings!$B$3,Settings!$B$4))</f>
        <v/>
      </c>
      <c r="L332">
        <f>IF(G332="","",G332*Settings!$B$2)</f>
        <v/>
      </c>
      <c r="M332">
        <f>IF(OR(G332="",J332=""),"",G332-L332-J332-K332-Settings!$B$6)</f>
        <v/>
      </c>
      <c r="N332">
        <f>IF(M332="","",IF(H332="Y","OK",IF(M332&gt;=Settings!$B$8,"MATCH","HOLD")))</f>
        <v/>
      </c>
    </row>
    <row r="333">
      <c r="E333">
        <f>IF(D333="","",Settings!$B$6)</f>
        <v/>
      </c>
      <c r="F333">
        <f>IF(D333="","",D333+E333)</f>
        <v/>
      </c>
      <c r="I333">
        <f>IF(G333="","",G333-Settings!$B$6)</f>
        <v/>
      </c>
      <c r="K333">
        <f>IF(J333="","",IF(J333&lt;Settings!$B$5,Settings!$B$3,Settings!$B$4))</f>
        <v/>
      </c>
      <c r="L333">
        <f>IF(G333="","",G333*Settings!$B$2)</f>
        <v/>
      </c>
      <c r="M333">
        <f>IF(OR(G333="",J333=""),"",G333-L333-J333-K333-Settings!$B$6)</f>
        <v/>
      </c>
      <c r="N333">
        <f>IF(M333="","",IF(H333="Y","OK",IF(M333&gt;=Settings!$B$8,"MATCH","HOLD")))</f>
        <v/>
      </c>
    </row>
    <row r="334">
      <c r="E334">
        <f>IF(D334="","",Settings!$B$6)</f>
        <v/>
      </c>
      <c r="F334">
        <f>IF(D334="","",D334+E334)</f>
        <v/>
      </c>
      <c r="I334">
        <f>IF(G334="","",G334-Settings!$B$6)</f>
        <v/>
      </c>
      <c r="K334">
        <f>IF(J334="","",IF(J334&lt;Settings!$B$5,Settings!$B$3,Settings!$B$4))</f>
        <v/>
      </c>
      <c r="L334">
        <f>IF(G334="","",G334*Settings!$B$2)</f>
        <v/>
      </c>
      <c r="M334">
        <f>IF(OR(G334="",J334=""),"",G334-L334-J334-K334-Settings!$B$6)</f>
        <v/>
      </c>
      <c r="N334">
        <f>IF(M334="","",IF(H334="Y","OK",IF(M334&gt;=Settings!$B$8,"MATCH","HOLD")))</f>
        <v/>
      </c>
    </row>
    <row r="335">
      <c r="E335">
        <f>IF(D335="","",Settings!$B$6)</f>
        <v/>
      </c>
      <c r="F335">
        <f>IF(D335="","",D335+E335)</f>
        <v/>
      </c>
      <c r="I335">
        <f>IF(G335="","",G335-Settings!$B$6)</f>
        <v/>
      </c>
      <c r="K335">
        <f>IF(J335="","",IF(J335&lt;Settings!$B$5,Settings!$B$3,Settings!$B$4))</f>
        <v/>
      </c>
      <c r="L335">
        <f>IF(G335="","",G335*Settings!$B$2)</f>
        <v/>
      </c>
      <c r="M335">
        <f>IF(OR(G335="",J335=""),"",G335-L335-J335-K335-Settings!$B$6)</f>
        <v/>
      </c>
      <c r="N335">
        <f>IF(M335="","",IF(H335="Y","OK",IF(M335&gt;=Settings!$B$8,"MATCH","HOLD")))</f>
        <v/>
      </c>
    </row>
    <row r="336">
      <c r="E336">
        <f>IF(D336="","",Settings!$B$6)</f>
        <v/>
      </c>
      <c r="F336">
        <f>IF(D336="","",D336+E336)</f>
        <v/>
      </c>
      <c r="I336">
        <f>IF(G336="","",G336-Settings!$B$6)</f>
        <v/>
      </c>
      <c r="K336">
        <f>IF(J336="","",IF(J336&lt;Settings!$B$5,Settings!$B$3,Settings!$B$4))</f>
        <v/>
      </c>
      <c r="L336">
        <f>IF(G336="","",G336*Settings!$B$2)</f>
        <v/>
      </c>
      <c r="M336">
        <f>IF(OR(G336="",J336=""),"",G336-L336-J336-K336-Settings!$B$6)</f>
        <v/>
      </c>
      <c r="N336">
        <f>IF(M336="","",IF(H336="Y","OK",IF(M336&gt;=Settings!$B$8,"MATCH","HOLD")))</f>
        <v/>
      </c>
    </row>
    <row r="337">
      <c r="E337">
        <f>IF(D337="","",Settings!$B$6)</f>
        <v/>
      </c>
      <c r="F337">
        <f>IF(D337="","",D337+E337)</f>
        <v/>
      </c>
      <c r="I337">
        <f>IF(G337="","",G337-Settings!$B$6)</f>
        <v/>
      </c>
      <c r="K337">
        <f>IF(J337="","",IF(J337&lt;Settings!$B$5,Settings!$B$3,Settings!$B$4))</f>
        <v/>
      </c>
      <c r="L337">
        <f>IF(G337="","",G337*Settings!$B$2)</f>
        <v/>
      </c>
      <c r="M337">
        <f>IF(OR(G337="",J337=""),"",G337-L337-J337-K337-Settings!$B$6)</f>
        <v/>
      </c>
      <c r="N337">
        <f>IF(M337="","",IF(H337="Y","OK",IF(M337&gt;=Settings!$B$8,"MATCH","HOLD")))</f>
        <v/>
      </c>
    </row>
    <row r="338">
      <c r="E338">
        <f>IF(D338="","",Settings!$B$6)</f>
        <v/>
      </c>
      <c r="F338">
        <f>IF(D338="","",D338+E338)</f>
        <v/>
      </c>
      <c r="I338">
        <f>IF(G338="","",G338-Settings!$B$6)</f>
        <v/>
      </c>
      <c r="K338">
        <f>IF(J338="","",IF(J338&lt;Settings!$B$5,Settings!$B$3,Settings!$B$4))</f>
        <v/>
      </c>
      <c r="L338">
        <f>IF(G338="","",G338*Settings!$B$2)</f>
        <v/>
      </c>
      <c r="M338">
        <f>IF(OR(G338="",J338=""),"",G338-L338-J338-K338-Settings!$B$6)</f>
        <v/>
      </c>
      <c r="N338">
        <f>IF(M338="","",IF(H338="Y","OK",IF(M338&gt;=Settings!$B$8,"MATCH","HOLD")))</f>
        <v/>
      </c>
    </row>
    <row r="339">
      <c r="E339">
        <f>IF(D339="","",Settings!$B$6)</f>
        <v/>
      </c>
      <c r="F339">
        <f>IF(D339="","",D339+E339)</f>
        <v/>
      </c>
      <c r="I339">
        <f>IF(G339="","",G339-Settings!$B$6)</f>
        <v/>
      </c>
      <c r="K339">
        <f>IF(J339="","",IF(J339&lt;Settings!$B$5,Settings!$B$3,Settings!$B$4))</f>
        <v/>
      </c>
      <c r="L339">
        <f>IF(G339="","",G339*Settings!$B$2)</f>
        <v/>
      </c>
      <c r="M339">
        <f>IF(OR(G339="",J339=""),"",G339-L339-J339-K339-Settings!$B$6)</f>
        <v/>
      </c>
      <c r="N339">
        <f>IF(M339="","",IF(H339="Y","OK",IF(M339&gt;=Settings!$B$8,"MATCH","HOLD")))</f>
        <v/>
      </c>
    </row>
    <row r="340">
      <c r="E340">
        <f>IF(D340="","",Settings!$B$6)</f>
        <v/>
      </c>
      <c r="F340">
        <f>IF(D340="","",D340+E340)</f>
        <v/>
      </c>
      <c r="I340">
        <f>IF(G340="","",G340-Settings!$B$6)</f>
        <v/>
      </c>
      <c r="K340">
        <f>IF(J340="","",IF(J340&lt;Settings!$B$5,Settings!$B$3,Settings!$B$4))</f>
        <v/>
      </c>
      <c r="L340">
        <f>IF(G340="","",G340*Settings!$B$2)</f>
        <v/>
      </c>
      <c r="M340">
        <f>IF(OR(G340="",J340=""),"",G340-L340-J340-K340-Settings!$B$6)</f>
        <v/>
      </c>
      <c r="N340">
        <f>IF(M340="","",IF(H340="Y","OK",IF(M340&gt;=Settings!$B$8,"MATCH","HOLD")))</f>
        <v/>
      </c>
    </row>
    <row r="341">
      <c r="E341">
        <f>IF(D341="","",Settings!$B$6)</f>
        <v/>
      </c>
      <c r="F341">
        <f>IF(D341="","",D341+E341)</f>
        <v/>
      </c>
      <c r="I341">
        <f>IF(G341="","",G341-Settings!$B$6)</f>
        <v/>
      </c>
      <c r="K341">
        <f>IF(J341="","",IF(J341&lt;Settings!$B$5,Settings!$B$3,Settings!$B$4))</f>
        <v/>
      </c>
      <c r="L341">
        <f>IF(G341="","",G341*Settings!$B$2)</f>
        <v/>
      </c>
      <c r="M341">
        <f>IF(OR(G341="",J341=""),"",G341-L341-J341-K341-Settings!$B$6)</f>
        <v/>
      </c>
      <c r="N341">
        <f>IF(M341="","",IF(H341="Y","OK",IF(M341&gt;=Settings!$B$8,"MATCH","HOLD")))</f>
        <v/>
      </c>
    </row>
    <row r="342">
      <c r="E342">
        <f>IF(D342="","",Settings!$B$6)</f>
        <v/>
      </c>
      <c r="F342">
        <f>IF(D342="","",D342+E342)</f>
        <v/>
      </c>
      <c r="I342">
        <f>IF(G342="","",G342-Settings!$B$6)</f>
        <v/>
      </c>
      <c r="K342">
        <f>IF(J342="","",IF(J342&lt;Settings!$B$5,Settings!$B$3,Settings!$B$4))</f>
        <v/>
      </c>
      <c r="L342">
        <f>IF(G342="","",G342*Settings!$B$2)</f>
        <v/>
      </c>
      <c r="M342">
        <f>IF(OR(G342="",J342=""),"",G342-L342-J342-K342-Settings!$B$6)</f>
        <v/>
      </c>
      <c r="N342">
        <f>IF(M342="","",IF(H342="Y","OK",IF(M342&gt;=Settings!$B$8,"MATCH","HOLD")))</f>
        <v/>
      </c>
    </row>
    <row r="343">
      <c r="E343">
        <f>IF(D343="","",Settings!$B$6)</f>
        <v/>
      </c>
      <c r="F343">
        <f>IF(D343="","",D343+E343)</f>
        <v/>
      </c>
      <c r="I343">
        <f>IF(G343="","",G343-Settings!$B$6)</f>
        <v/>
      </c>
      <c r="K343">
        <f>IF(J343="","",IF(J343&lt;Settings!$B$5,Settings!$B$3,Settings!$B$4))</f>
        <v/>
      </c>
      <c r="L343">
        <f>IF(G343="","",G343*Settings!$B$2)</f>
        <v/>
      </c>
      <c r="M343">
        <f>IF(OR(G343="",J343=""),"",G343-L343-J343-K343-Settings!$B$6)</f>
        <v/>
      </c>
      <c r="N343">
        <f>IF(M343="","",IF(H343="Y","OK",IF(M343&gt;=Settings!$B$8,"MATCH","HOLD")))</f>
        <v/>
      </c>
    </row>
    <row r="344">
      <c r="E344">
        <f>IF(D344="","",Settings!$B$6)</f>
        <v/>
      </c>
      <c r="F344">
        <f>IF(D344="","",D344+E344)</f>
        <v/>
      </c>
      <c r="I344">
        <f>IF(G344="","",G344-Settings!$B$6)</f>
        <v/>
      </c>
      <c r="K344">
        <f>IF(J344="","",IF(J344&lt;Settings!$B$5,Settings!$B$3,Settings!$B$4))</f>
        <v/>
      </c>
      <c r="L344">
        <f>IF(G344="","",G344*Settings!$B$2)</f>
        <v/>
      </c>
      <c r="M344">
        <f>IF(OR(G344="",J344=""),"",G344-L344-J344-K344-Settings!$B$6)</f>
        <v/>
      </c>
      <c r="N344">
        <f>IF(M344="","",IF(H344="Y","OK",IF(M344&gt;=Settings!$B$8,"MATCH","HOLD")))</f>
        <v/>
      </c>
    </row>
    <row r="345">
      <c r="E345">
        <f>IF(D345="","",Settings!$B$6)</f>
        <v/>
      </c>
      <c r="F345">
        <f>IF(D345="","",D345+E345)</f>
        <v/>
      </c>
      <c r="I345">
        <f>IF(G345="","",G345-Settings!$B$6)</f>
        <v/>
      </c>
      <c r="K345">
        <f>IF(J345="","",IF(J345&lt;Settings!$B$5,Settings!$B$3,Settings!$B$4))</f>
        <v/>
      </c>
      <c r="L345">
        <f>IF(G345="","",G345*Settings!$B$2)</f>
        <v/>
      </c>
      <c r="M345">
        <f>IF(OR(G345="",J345=""),"",G345-L345-J345-K345-Settings!$B$6)</f>
        <v/>
      </c>
      <c r="N345">
        <f>IF(M345="","",IF(H345="Y","OK",IF(M345&gt;=Settings!$B$8,"MATCH","HOLD")))</f>
        <v/>
      </c>
    </row>
    <row r="346">
      <c r="E346">
        <f>IF(D346="","",Settings!$B$6)</f>
        <v/>
      </c>
      <c r="F346">
        <f>IF(D346="","",D346+E346)</f>
        <v/>
      </c>
      <c r="I346">
        <f>IF(G346="","",G346-Settings!$B$6)</f>
        <v/>
      </c>
      <c r="K346">
        <f>IF(J346="","",IF(J346&lt;Settings!$B$5,Settings!$B$3,Settings!$B$4))</f>
        <v/>
      </c>
      <c r="L346">
        <f>IF(G346="","",G346*Settings!$B$2)</f>
        <v/>
      </c>
      <c r="M346">
        <f>IF(OR(G346="",J346=""),"",G346-L346-J346-K346-Settings!$B$6)</f>
        <v/>
      </c>
      <c r="N346">
        <f>IF(M346="","",IF(H346="Y","OK",IF(M346&gt;=Settings!$B$8,"MATCH","HOLD")))</f>
        <v/>
      </c>
    </row>
    <row r="347">
      <c r="E347">
        <f>IF(D347="","",Settings!$B$6)</f>
        <v/>
      </c>
      <c r="F347">
        <f>IF(D347="","",D347+E347)</f>
        <v/>
      </c>
      <c r="I347">
        <f>IF(G347="","",G347-Settings!$B$6)</f>
        <v/>
      </c>
      <c r="K347">
        <f>IF(J347="","",IF(J347&lt;Settings!$B$5,Settings!$B$3,Settings!$B$4))</f>
        <v/>
      </c>
      <c r="L347">
        <f>IF(G347="","",G347*Settings!$B$2)</f>
        <v/>
      </c>
      <c r="M347">
        <f>IF(OR(G347="",J347=""),"",G347-L347-J347-K347-Settings!$B$6)</f>
        <v/>
      </c>
      <c r="N347">
        <f>IF(M347="","",IF(H347="Y","OK",IF(M347&gt;=Settings!$B$8,"MATCH","HOLD")))</f>
        <v/>
      </c>
    </row>
    <row r="348">
      <c r="E348">
        <f>IF(D348="","",Settings!$B$6)</f>
        <v/>
      </c>
      <c r="F348">
        <f>IF(D348="","",D348+E348)</f>
        <v/>
      </c>
      <c r="I348">
        <f>IF(G348="","",G348-Settings!$B$6)</f>
        <v/>
      </c>
      <c r="K348">
        <f>IF(J348="","",IF(J348&lt;Settings!$B$5,Settings!$B$3,Settings!$B$4))</f>
        <v/>
      </c>
      <c r="L348">
        <f>IF(G348="","",G348*Settings!$B$2)</f>
        <v/>
      </c>
      <c r="M348">
        <f>IF(OR(G348="",J348=""),"",G348-L348-J348-K348-Settings!$B$6)</f>
        <v/>
      </c>
      <c r="N348">
        <f>IF(M348="","",IF(H348="Y","OK",IF(M348&gt;=Settings!$B$8,"MATCH","HOLD")))</f>
        <v/>
      </c>
    </row>
    <row r="349">
      <c r="E349">
        <f>IF(D349="","",Settings!$B$6)</f>
        <v/>
      </c>
      <c r="F349">
        <f>IF(D349="","",D349+E349)</f>
        <v/>
      </c>
      <c r="I349">
        <f>IF(G349="","",G349-Settings!$B$6)</f>
        <v/>
      </c>
      <c r="K349">
        <f>IF(J349="","",IF(J349&lt;Settings!$B$5,Settings!$B$3,Settings!$B$4))</f>
        <v/>
      </c>
      <c r="L349">
        <f>IF(G349="","",G349*Settings!$B$2)</f>
        <v/>
      </c>
      <c r="M349">
        <f>IF(OR(G349="",J349=""),"",G349-L349-J349-K349-Settings!$B$6)</f>
        <v/>
      </c>
      <c r="N349">
        <f>IF(M349="","",IF(H349="Y","OK",IF(M349&gt;=Settings!$B$8,"MATCH","HOLD")))</f>
        <v/>
      </c>
    </row>
    <row r="350">
      <c r="E350">
        <f>IF(D350="","",Settings!$B$6)</f>
        <v/>
      </c>
      <c r="F350">
        <f>IF(D350="","",D350+E350)</f>
        <v/>
      </c>
      <c r="I350">
        <f>IF(G350="","",G350-Settings!$B$6)</f>
        <v/>
      </c>
      <c r="K350">
        <f>IF(J350="","",IF(J350&lt;Settings!$B$5,Settings!$B$3,Settings!$B$4))</f>
        <v/>
      </c>
      <c r="L350">
        <f>IF(G350="","",G350*Settings!$B$2)</f>
        <v/>
      </c>
      <c r="M350">
        <f>IF(OR(G350="",J350=""),"",G350-L350-J350-K350-Settings!$B$6)</f>
        <v/>
      </c>
      <c r="N350">
        <f>IF(M350="","",IF(H350="Y","OK",IF(M350&gt;=Settings!$B$8,"MATCH","HOLD")))</f>
        <v/>
      </c>
    </row>
    <row r="351">
      <c r="E351">
        <f>IF(D351="","",Settings!$B$6)</f>
        <v/>
      </c>
      <c r="F351">
        <f>IF(D351="","",D351+E351)</f>
        <v/>
      </c>
      <c r="I351">
        <f>IF(G351="","",G351-Settings!$B$6)</f>
        <v/>
      </c>
      <c r="K351">
        <f>IF(J351="","",IF(J351&lt;Settings!$B$5,Settings!$B$3,Settings!$B$4))</f>
        <v/>
      </c>
      <c r="L351">
        <f>IF(G351="","",G351*Settings!$B$2)</f>
        <v/>
      </c>
      <c r="M351">
        <f>IF(OR(G351="",J351=""),"",G351-L351-J351-K351-Settings!$B$6)</f>
        <v/>
      </c>
      <c r="N351">
        <f>IF(M351="","",IF(H351="Y","OK",IF(M351&gt;=Settings!$B$8,"MATCH","HOLD")))</f>
        <v/>
      </c>
    </row>
    <row r="352">
      <c r="E352">
        <f>IF(D352="","",Settings!$B$6)</f>
        <v/>
      </c>
      <c r="F352">
        <f>IF(D352="","",D352+E352)</f>
        <v/>
      </c>
      <c r="I352">
        <f>IF(G352="","",G352-Settings!$B$6)</f>
        <v/>
      </c>
      <c r="K352">
        <f>IF(J352="","",IF(J352&lt;Settings!$B$5,Settings!$B$3,Settings!$B$4))</f>
        <v/>
      </c>
      <c r="L352">
        <f>IF(G352="","",G352*Settings!$B$2)</f>
        <v/>
      </c>
      <c r="M352">
        <f>IF(OR(G352="",J352=""),"",G352-L352-J352-K352-Settings!$B$6)</f>
        <v/>
      </c>
      <c r="N352">
        <f>IF(M352="","",IF(H352="Y","OK",IF(M352&gt;=Settings!$B$8,"MATCH","HOLD")))</f>
        <v/>
      </c>
    </row>
    <row r="353">
      <c r="E353">
        <f>IF(D353="","",Settings!$B$6)</f>
        <v/>
      </c>
      <c r="F353">
        <f>IF(D353="","",D353+E353)</f>
        <v/>
      </c>
      <c r="I353">
        <f>IF(G353="","",G353-Settings!$B$6)</f>
        <v/>
      </c>
      <c r="K353">
        <f>IF(J353="","",IF(J353&lt;Settings!$B$5,Settings!$B$3,Settings!$B$4))</f>
        <v/>
      </c>
      <c r="L353">
        <f>IF(G353="","",G353*Settings!$B$2)</f>
        <v/>
      </c>
      <c r="M353">
        <f>IF(OR(G353="",J353=""),"",G353-L353-J353-K353-Settings!$B$6)</f>
        <v/>
      </c>
      <c r="N353">
        <f>IF(M353="","",IF(H353="Y","OK",IF(M353&gt;=Settings!$B$8,"MATCH","HOLD")))</f>
        <v/>
      </c>
    </row>
    <row r="354">
      <c r="E354">
        <f>IF(D354="","",Settings!$B$6)</f>
        <v/>
      </c>
      <c r="F354">
        <f>IF(D354="","",D354+E354)</f>
        <v/>
      </c>
      <c r="I354">
        <f>IF(G354="","",G354-Settings!$B$6)</f>
        <v/>
      </c>
      <c r="K354">
        <f>IF(J354="","",IF(J354&lt;Settings!$B$5,Settings!$B$3,Settings!$B$4))</f>
        <v/>
      </c>
      <c r="L354">
        <f>IF(G354="","",G354*Settings!$B$2)</f>
        <v/>
      </c>
      <c r="M354">
        <f>IF(OR(G354="",J354=""),"",G354-L354-J354-K354-Settings!$B$6)</f>
        <v/>
      </c>
      <c r="N354">
        <f>IF(M354="","",IF(H354="Y","OK",IF(M354&gt;=Settings!$B$8,"MATCH","HOLD")))</f>
        <v/>
      </c>
    </row>
    <row r="355">
      <c r="E355">
        <f>IF(D355="","",Settings!$B$6)</f>
        <v/>
      </c>
      <c r="F355">
        <f>IF(D355="","",D355+E355)</f>
        <v/>
      </c>
      <c r="I355">
        <f>IF(G355="","",G355-Settings!$B$6)</f>
        <v/>
      </c>
      <c r="K355">
        <f>IF(J355="","",IF(J355&lt;Settings!$B$5,Settings!$B$3,Settings!$B$4))</f>
        <v/>
      </c>
      <c r="L355">
        <f>IF(G355="","",G355*Settings!$B$2)</f>
        <v/>
      </c>
      <c r="M355">
        <f>IF(OR(G355="",J355=""),"",G355-L355-J355-K355-Settings!$B$6)</f>
        <v/>
      </c>
      <c r="N355">
        <f>IF(M355="","",IF(H355="Y","OK",IF(M355&gt;=Settings!$B$8,"MATCH","HOLD")))</f>
        <v/>
      </c>
    </row>
    <row r="356">
      <c r="E356">
        <f>IF(D356="","",Settings!$B$6)</f>
        <v/>
      </c>
      <c r="F356">
        <f>IF(D356="","",D356+E356)</f>
        <v/>
      </c>
      <c r="I356">
        <f>IF(G356="","",G356-Settings!$B$6)</f>
        <v/>
      </c>
      <c r="K356">
        <f>IF(J356="","",IF(J356&lt;Settings!$B$5,Settings!$B$3,Settings!$B$4))</f>
        <v/>
      </c>
      <c r="L356">
        <f>IF(G356="","",G356*Settings!$B$2)</f>
        <v/>
      </c>
      <c r="M356">
        <f>IF(OR(G356="",J356=""),"",G356-L356-J356-K356-Settings!$B$6)</f>
        <v/>
      </c>
      <c r="N356">
        <f>IF(M356="","",IF(H356="Y","OK",IF(M356&gt;=Settings!$B$8,"MATCH","HOLD")))</f>
        <v/>
      </c>
    </row>
    <row r="357">
      <c r="E357">
        <f>IF(D357="","",Settings!$B$6)</f>
        <v/>
      </c>
      <c r="F357">
        <f>IF(D357="","",D357+E357)</f>
        <v/>
      </c>
      <c r="I357">
        <f>IF(G357="","",G357-Settings!$B$6)</f>
        <v/>
      </c>
      <c r="K357">
        <f>IF(J357="","",IF(J357&lt;Settings!$B$5,Settings!$B$3,Settings!$B$4))</f>
        <v/>
      </c>
      <c r="L357">
        <f>IF(G357="","",G357*Settings!$B$2)</f>
        <v/>
      </c>
      <c r="M357">
        <f>IF(OR(G357="",J357=""),"",G357-L357-J357-K357-Settings!$B$6)</f>
        <v/>
      </c>
      <c r="N357">
        <f>IF(M357="","",IF(H357="Y","OK",IF(M357&gt;=Settings!$B$8,"MATCH","HOLD")))</f>
        <v/>
      </c>
    </row>
    <row r="358">
      <c r="E358">
        <f>IF(D358="","",Settings!$B$6)</f>
        <v/>
      </c>
      <c r="F358">
        <f>IF(D358="","",D358+E358)</f>
        <v/>
      </c>
      <c r="I358">
        <f>IF(G358="","",G358-Settings!$B$6)</f>
        <v/>
      </c>
      <c r="K358">
        <f>IF(J358="","",IF(J358&lt;Settings!$B$5,Settings!$B$3,Settings!$B$4))</f>
        <v/>
      </c>
      <c r="L358">
        <f>IF(G358="","",G358*Settings!$B$2)</f>
        <v/>
      </c>
      <c r="M358">
        <f>IF(OR(G358="",J358=""),"",G358-L358-J358-K358-Settings!$B$6)</f>
        <v/>
      </c>
      <c r="N358">
        <f>IF(M358="","",IF(H358="Y","OK",IF(M358&gt;=Settings!$B$8,"MATCH","HOLD")))</f>
        <v/>
      </c>
    </row>
    <row r="359">
      <c r="E359">
        <f>IF(D359="","",Settings!$B$6)</f>
        <v/>
      </c>
      <c r="F359">
        <f>IF(D359="","",D359+E359)</f>
        <v/>
      </c>
      <c r="I359">
        <f>IF(G359="","",G359-Settings!$B$6)</f>
        <v/>
      </c>
      <c r="K359">
        <f>IF(J359="","",IF(J359&lt;Settings!$B$5,Settings!$B$3,Settings!$B$4))</f>
        <v/>
      </c>
      <c r="L359">
        <f>IF(G359="","",G359*Settings!$B$2)</f>
        <v/>
      </c>
      <c r="M359">
        <f>IF(OR(G359="",J359=""),"",G359-L359-J359-K359-Settings!$B$6)</f>
        <v/>
      </c>
      <c r="N359">
        <f>IF(M359="","",IF(H359="Y","OK",IF(M359&gt;=Settings!$B$8,"MATCH","HOLD")))</f>
        <v/>
      </c>
    </row>
    <row r="360">
      <c r="E360">
        <f>IF(D360="","",Settings!$B$6)</f>
        <v/>
      </c>
      <c r="F360">
        <f>IF(D360="","",D360+E360)</f>
        <v/>
      </c>
      <c r="I360">
        <f>IF(G360="","",G360-Settings!$B$6)</f>
        <v/>
      </c>
      <c r="K360">
        <f>IF(J360="","",IF(J360&lt;Settings!$B$5,Settings!$B$3,Settings!$B$4))</f>
        <v/>
      </c>
      <c r="L360">
        <f>IF(G360="","",G360*Settings!$B$2)</f>
        <v/>
      </c>
      <c r="M360">
        <f>IF(OR(G360="",J360=""),"",G360-L360-J360-K360-Settings!$B$6)</f>
        <v/>
      </c>
      <c r="N360">
        <f>IF(M360="","",IF(H360="Y","OK",IF(M360&gt;=Settings!$B$8,"MATCH","HOLD")))</f>
        <v/>
      </c>
    </row>
    <row r="361">
      <c r="E361">
        <f>IF(D361="","",Settings!$B$6)</f>
        <v/>
      </c>
      <c r="F361">
        <f>IF(D361="","",D361+E361)</f>
        <v/>
      </c>
      <c r="I361">
        <f>IF(G361="","",G361-Settings!$B$6)</f>
        <v/>
      </c>
      <c r="K361">
        <f>IF(J361="","",IF(J361&lt;Settings!$B$5,Settings!$B$3,Settings!$B$4))</f>
        <v/>
      </c>
      <c r="L361">
        <f>IF(G361="","",G361*Settings!$B$2)</f>
        <v/>
      </c>
      <c r="M361">
        <f>IF(OR(G361="",J361=""),"",G361-L361-J361-K361-Settings!$B$6)</f>
        <v/>
      </c>
      <c r="N361">
        <f>IF(M361="","",IF(H361="Y","OK",IF(M361&gt;=Settings!$B$8,"MATCH","HOLD")))</f>
        <v/>
      </c>
    </row>
    <row r="362">
      <c r="E362">
        <f>IF(D362="","",Settings!$B$6)</f>
        <v/>
      </c>
      <c r="F362">
        <f>IF(D362="","",D362+E362)</f>
        <v/>
      </c>
      <c r="I362">
        <f>IF(G362="","",G362-Settings!$B$6)</f>
        <v/>
      </c>
      <c r="K362">
        <f>IF(J362="","",IF(J362&lt;Settings!$B$5,Settings!$B$3,Settings!$B$4))</f>
        <v/>
      </c>
      <c r="L362">
        <f>IF(G362="","",G362*Settings!$B$2)</f>
        <v/>
      </c>
      <c r="M362">
        <f>IF(OR(G362="",J362=""),"",G362-L362-J362-K362-Settings!$B$6)</f>
        <v/>
      </c>
      <c r="N362">
        <f>IF(M362="","",IF(H362="Y","OK",IF(M362&gt;=Settings!$B$8,"MATCH","HOLD")))</f>
        <v/>
      </c>
    </row>
    <row r="363">
      <c r="E363">
        <f>IF(D363="","",Settings!$B$6)</f>
        <v/>
      </c>
      <c r="F363">
        <f>IF(D363="","",D363+E363)</f>
        <v/>
      </c>
      <c r="I363">
        <f>IF(G363="","",G363-Settings!$B$6)</f>
        <v/>
      </c>
      <c r="K363">
        <f>IF(J363="","",IF(J363&lt;Settings!$B$5,Settings!$B$3,Settings!$B$4))</f>
        <v/>
      </c>
      <c r="L363">
        <f>IF(G363="","",G363*Settings!$B$2)</f>
        <v/>
      </c>
      <c r="M363">
        <f>IF(OR(G363="",J363=""),"",G363-L363-J363-K363-Settings!$B$6)</f>
        <v/>
      </c>
      <c r="N363">
        <f>IF(M363="","",IF(H363="Y","OK",IF(M363&gt;=Settings!$B$8,"MATCH","HOLD")))</f>
        <v/>
      </c>
    </row>
    <row r="364">
      <c r="E364">
        <f>IF(D364="","",Settings!$B$6)</f>
        <v/>
      </c>
      <c r="F364">
        <f>IF(D364="","",D364+E364)</f>
        <v/>
      </c>
      <c r="I364">
        <f>IF(G364="","",G364-Settings!$B$6)</f>
        <v/>
      </c>
      <c r="K364">
        <f>IF(J364="","",IF(J364&lt;Settings!$B$5,Settings!$B$3,Settings!$B$4))</f>
        <v/>
      </c>
      <c r="L364">
        <f>IF(G364="","",G364*Settings!$B$2)</f>
        <v/>
      </c>
      <c r="M364">
        <f>IF(OR(G364="",J364=""),"",G364-L364-J364-K364-Settings!$B$6)</f>
        <v/>
      </c>
      <c r="N364">
        <f>IF(M364="","",IF(H364="Y","OK",IF(M364&gt;=Settings!$B$8,"MATCH","HOLD")))</f>
        <v/>
      </c>
    </row>
    <row r="365">
      <c r="E365">
        <f>IF(D365="","",Settings!$B$6)</f>
        <v/>
      </c>
      <c r="F365">
        <f>IF(D365="","",D365+E365)</f>
        <v/>
      </c>
      <c r="I365">
        <f>IF(G365="","",G365-Settings!$B$6)</f>
        <v/>
      </c>
      <c r="K365">
        <f>IF(J365="","",IF(J365&lt;Settings!$B$5,Settings!$B$3,Settings!$B$4))</f>
        <v/>
      </c>
      <c r="L365">
        <f>IF(G365="","",G365*Settings!$B$2)</f>
        <v/>
      </c>
      <c r="M365">
        <f>IF(OR(G365="",J365=""),"",G365-L365-J365-K365-Settings!$B$6)</f>
        <v/>
      </c>
      <c r="N365">
        <f>IF(M365="","",IF(H365="Y","OK",IF(M365&gt;=Settings!$B$8,"MATCH","HOLD")))</f>
        <v/>
      </c>
    </row>
    <row r="366">
      <c r="E366">
        <f>IF(D366="","",Settings!$B$6)</f>
        <v/>
      </c>
      <c r="F366">
        <f>IF(D366="","",D366+E366)</f>
        <v/>
      </c>
      <c r="I366">
        <f>IF(G366="","",G366-Settings!$B$6)</f>
        <v/>
      </c>
      <c r="K366">
        <f>IF(J366="","",IF(J366&lt;Settings!$B$5,Settings!$B$3,Settings!$B$4))</f>
        <v/>
      </c>
      <c r="L366">
        <f>IF(G366="","",G366*Settings!$B$2)</f>
        <v/>
      </c>
      <c r="M366">
        <f>IF(OR(G366="",J366=""),"",G366-L366-J366-K366-Settings!$B$6)</f>
        <v/>
      </c>
      <c r="N366">
        <f>IF(M366="","",IF(H366="Y","OK",IF(M366&gt;=Settings!$B$8,"MATCH","HOLD")))</f>
        <v/>
      </c>
    </row>
    <row r="367">
      <c r="E367">
        <f>IF(D367="","",Settings!$B$6)</f>
        <v/>
      </c>
      <c r="F367">
        <f>IF(D367="","",D367+E367)</f>
        <v/>
      </c>
      <c r="I367">
        <f>IF(G367="","",G367-Settings!$B$6)</f>
        <v/>
      </c>
      <c r="K367">
        <f>IF(J367="","",IF(J367&lt;Settings!$B$5,Settings!$B$3,Settings!$B$4))</f>
        <v/>
      </c>
      <c r="L367">
        <f>IF(G367="","",G367*Settings!$B$2)</f>
        <v/>
      </c>
      <c r="M367">
        <f>IF(OR(G367="",J367=""),"",G367-L367-J367-K367-Settings!$B$6)</f>
        <v/>
      </c>
      <c r="N367">
        <f>IF(M367="","",IF(H367="Y","OK",IF(M367&gt;=Settings!$B$8,"MATCH","HOLD")))</f>
        <v/>
      </c>
    </row>
    <row r="368">
      <c r="E368">
        <f>IF(D368="","",Settings!$B$6)</f>
        <v/>
      </c>
      <c r="F368">
        <f>IF(D368="","",D368+E368)</f>
        <v/>
      </c>
      <c r="I368">
        <f>IF(G368="","",G368-Settings!$B$6)</f>
        <v/>
      </c>
      <c r="K368">
        <f>IF(J368="","",IF(J368&lt;Settings!$B$5,Settings!$B$3,Settings!$B$4))</f>
        <v/>
      </c>
      <c r="L368">
        <f>IF(G368="","",G368*Settings!$B$2)</f>
        <v/>
      </c>
      <c r="M368">
        <f>IF(OR(G368="",J368=""),"",G368-L368-J368-K368-Settings!$B$6)</f>
        <v/>
      </c>
      <c r="N368">
        <f>IF(M368="","",IF(H368="Y","OK",IF(M368&gt;=Settings!$B$8,"MATCH","HOLD")))</f>
        <v/>
      </c>
    </row>
    <row r="369">
      <c r="E369">
        <f>IF(D369="","",Settings!$B$6)</f>
        <v/>
      </c>
      <c r="F369">
        <f>IF(D369="","",D369+E369)</f>
        <v/>
      </c>
      <c r="I369">
        <f>IF(G369="","",G369-Settings!$B$6)</f>
        <v/>
      </c>
      <c r="K369">
        <f>IF(J369="","",IF(J369&lt;Settings!$B$5,Settings!$B$3,Settings!$B$4))</f>
        <v/>
      </c>
      <c r="L369">
        <f>IF(G369="","",G369*Settings!$B$2)</f>
        <v/>
      </c>
      <c r="M369">
        <f>IF(OR(G369="",J369=""),"",G369-L369-J369-K369-Settings!$B$6)</f>
        <v/>
      </c>
      <c r="N369">
        <f>IF(M369="","",IF(H369="Y","OK",IF(M369&gt;=Settings!$B$8,"MATCH","HOLD")))</f>
        <v/>
      </c>
    </row>
    <row r="370">
      <c r="E370">
        <f>IF(D370="","",Settings!$B$6)</f>
        <v/>
      </c>
      <c r="F370">
        <f>IF(D370="","",D370+E370)</f>
        <v/>
      </c>
      <c r="I370">
        <f>IF(G370="","",G370-Settings!$B$6)</f>
        <v/>
      </c>
      <c r="K370">
        <f>IF(J370="","",IF(J370&lt;Settings!$B$5,Settings!$B$3,Settings!$B$4))</f>
        <v/>
      </c>
      <c r="L370">
        <f>IF(G370="","",G370*Settings!$B$2)</f>
        <v/>
      </c>
      <c r="M370">
        <f>IF(OR(G370="",J370=""),"",G370-L370-J370-K370-Settings!$B$6)</f>
        <v/>
      </c>
      <c r="N370">
        <f>IF(M370="","",IF(H370="Y","OK",IF(M370&gt;=Settings!$B$8,"MATCH","HOLD")))</f>
        <v/>
      </c>
    </row>
    <row r="371">
      <c r="E371">
        <f>IF(D371="","",Settings!$B$6)</f>
        <v/>
      </c>
      <c r="F371">
        <f>IF(D371="","",D371+E371)</f>
        <v/>
      </c>
      <c r="I371">
        <f>IF(G371="","",G371-Settings!$B$6)</f>
        <v/>
      </c>
      <c r="K371">
        <f>IF(J371="","",IF(J371&lt;Settings!$B$5,Settings!$B$3,Settings!$B$4))</f>
        <v/>
      </c>
      <c r="L371">
        <f>IF(G371="","",G371*Settings!$B$2)</f>
        <v/>
      </c>
      <c r="M371">
        <f>IF(OR(G371="",J371=""),"",G371-L371-J371-K371-Settings!$B$6)</f>
        <v/>
      </c>
      <c r="N371">
        <f>IF(M371="","",IF(H371="Y","OK",IF(M371&gt;=Settings!$B$8,"MATCH","HOLD")))</f>
        <v/>
      </c>
    </row>
    <row r="372">
      <c r="E372">
        <f>IF(D372="","",Settings!$B$6)</f>
        <v/>
      </c>
      <c r="F372">
        <f>IF(D372="","",D372+E372)</f>
        <v/>
      </c>
      <c r="I372">
        <f>IF(G372="","",G372-Settings!$B$6)</f>
        <v/>
      </c>
      <c r="K372">
        <f>IF(J372="","",IF(J372&lt;Settings!$B$5,Settings!$B$3,Settings!$B$4))</f>
        <v/>
      </c>
      <c r="L372">
        <f>IF(G372="","",G372*Settings!$B$2)</f>
        <v/>
      </c>
      <c r="M372">
        <f>IF(OR(G372="",J372=""),"",G372-L372-J372-K372-Settings!$B$6)</f>
        <v/>
      </c>
      <c r="N372">
        <f>IF(M372="","",IF(H372="Y","OK",IF(M372&gt;=Settings!$B$8,"MATCH","HOLD")))</f>
        <v/>
      </c>
    </row>
    <row r="373">
      <c r="E373">
        <f>IF(D373="","",Settings!$B$6)</f>
        <v/>
      </c>
      <c r="F373">
        <f>IF(D373="","",D373+E373)</f>
        <v/>
      </c>
      <c r="I373">
        <f>IF(G373="","",G373-Settings!$B$6)</f>
        <v/>
      </c>
      <c r="K373">
        <f>IF(J373="","",IF(J373&lt;Settings!$B$5,Settings!$B$3,Settings!$B$4))</f>
        <v/>
      </c>
      <c r="L373">
        <f>IF(G373="","",G373*Settings!$B$2)</f>
        <v/>
      </c>
      <c r="M373">
        <f>IF(OR(G373="",J373=""),"",G373-L373-J373-K373-Settings!$B$6)</f>
        <v/>
      </c>
      <c r="N373">
        <f>IF(M373="","",IF(H373="Y","OK",IF(M373&gt;=Settings!$B$8,"MATCH","HOLD")))</f>
        <v/>
      </c>
    </row>
    <row r="374">
      <c r="E374">
        <f>IF(D374="","",Settings!$B$6)</f>
        <v/>
      </c>
      <c r="F374">
        <f>IF(D374="","",D374+E374)</f>
        <v/>
      </c>
      <c r="I374">
        <f>IF(G374="","",G374-Settings!$B$6)</f>
        <v/>
      </c>
      <c r="K374">
        <f>IF(J374="","",IF(J374&lt;Settings!$B$5,Settings!$B$3,Settings!$B$4))</f>
        <v/>
      </c>
      <c r="L374">
        <f>IF(G374="","",G374*Settings!$B$2)</f>
        <v/>
      </c>
      <c r="M374">
        <f>IF(OR(G374="",J374=""),"",G374-L374-J374-K374-Settings!$B$6)</f>
        <v/>
      </c>
      <c r="N374">
        <f>IF(M374="","",IF(H374="Y","OK",IF(M374&gt;=Settings!$B$8,"MATCH","HOLD")))</f>
        <v/>
      </c>
    </row>
    <row r="375">
      <c r="E375">
        <f>IF(D375="","",Settings!$B$6)</f>
        <v/>
      </c>
      <c r="F375">
        <f>IF(D375="","",D375+E375)</f>
        <v/>
      </c>
      <c r="I375">
        <f>IF(G375="","",G375-Settings!$B$6)</f>
        <v/>
      </c>
      <c r="K375">
        <f>IF(J375="","",IF(J375&lt;Settings!$B$5,Settings!$B$3,Settings!$B$4))</f>
        <v/>
      </c>
      <c r="L375">
        <f>IF(G375="","",G375*Settings!$B$2)</f>
        <v/>
      </c>
      <c r="M375">
        <f>IF(OR(G375="",J375=""),"",G375-L375-J375-K375-Settings!$B$6)</f>
        <v/>
      </c>
      <c r="N375">
        <f>IF(M375="","",IF(H375="Y","OK",IF(M375&gt;=Settings!$B$8,"MATCH","HOLD")))</f>
        <v/>
      </c>
    </row>
    <row r="376">
      <c r="E376">
        <f>IF(D376="","",Settings!$B$6)</f>
        <v/>
      </c>
      <c r="F376">
        <f>IF(D376="","",D376+E376)</f>
        <v/>
      </c>
      <c r="I376">
        <f>IF(G376="","",G376-Settings!$B$6)</f>
        <v/>
      </c>
      <c r="K376">
        <f>IF(J376="","",IF(J376&lt;Settings!$B$5,Settings!$B$3,Settings!$B$4))</f>
        <v/>
      </c>
      <c r="L376">
        <f>IF(G376="","",G376*Settings!$B$2)</f>
        <v/>
      </c>
      <c r="M376">
        <f>IF(OR(G376="",J376=""),"",G376-L376-J376-K376-Settings!$B$6)</f>
        <v/>
      </c>
      <c r="N376">
        <f>IF(M376="","",IF(H376="Y","OK",IF(M376&gt;=Settings!$B$8,"MATCH","HOLD")))</f>
        <v/>
      </c>
    </row>
    <row r="377">
      <c r="E377">
        <f>IF(D377="","",Settings!$B$6)</f>
        <v/>
      </c>
      <c r="F377">
        <f>IF(D377="","",D377+E377)</f>
        <v/>
      </c>
      <c r="I377">
        <f>IF(G377="","",G377-Settings!$B$6)</f>
        <v/>
      </c>
      <c r="K377">
        <f>IF(J377="","",IF(J377&lt;Settings!$B$5,Settings!$B$3,Settings!$B$4))</f>
        <v/>
      </c>
      <c r="L377">
        <f>IF(G377="","",G377*Settings!$B$2)</f>
        <v/>
      </c>
      <c r="M377">
        <f>IF(OR(G377="",J377=""),"",G377-L377-J377-K377-Settings!$B$6)</f>
        <v/>
      </c>
      <c r="N377">
        <f>IF(M377="","",IF(H377="Y","OK",IF(M377&gt;=Settings!$B$8,"MATCH","HOLD")))</f>
        <v/>
      </c>
    </row>
    <row r="378">
      <c r="E378">
        <f>IF(D378="","",Settings!$B$6)</f>
        <v/>
      </c>
      <c r="F378">
        <f>IF(D378="","",D378+E378)</f>
        <v/>
      </c>
      <c r="I378">
        <f>IF(G378="","",G378-Settings!$B$6)</f>
        <v/>
      </c>
      <c r="K378">
        <f>IF(J378="","",IF(J378&lt;Settings!$B$5,Settings!$B$3,Settings!$B$4))</f>
        <v/>
      </c>
      <c r="L378">
        <f>IF(G378="","",G378*Settings!$B$2)</f>
        <v/>
      </c>
      <c r="M378">
        <f>IF(OR(G378="",J378=""),"",G378-L378-J378-K378-Settings!$B$6)</f>
        <v/>
      </c>
      <c r="N378">
        <f>IF(M378="","",IF(H378="Y","OK",IF(M378&gt;=Settings!$B$8,"MATCH","HOLD")))</f>
        <v/>
      </c>
    </row>
    <row r="379">
      <c r="E379">
        <f>IF(D379="","",Settings!$B$6)</f>
        <v/>
      </c>
      <c r="F379">
        <f>IF(D379="","",D379+E379)</f>
        <v/>
      </c>
      <c r="I379">
        <f>IF(G379="","",G379-Settings!$B$6)</f>
        <v/>
      </c>
      <c r="K379">
        <f>IF(J379="","",IF(J379&lt;Settings!$B$5,Settings!$B$3,Settings!$B$4))</f>
        <v/>
      </c>
      <c r="L379">
        <f>IF(G379="","",G379*Settings!$B$2)</f>
        <v/>
      </c>
      <c r="M379">
        <f>IF(OR(G379="",J379=""),"",G379-L379-J379-K379-Settings!$B$6)</f>
        <v/>
      </c>
      <c r="N379">
        <f>IF(M379="","",IF(H379="Y","OK",IF(M379&gt;=Settings!$B$8,"MATCH","HOLD")))</f>
        <v/>
      </c>
    </row>
    <row r="380">
      <c r="E380">
        <f>IF(D380="","",Settings!$B$6)</f>
        <v/>
      </c>
      <c r="F380">
        <f>IF(D380="","",D380+E380)</f>
        <v/>
      </c>
      <c r="I380">
        <f>IF(G380="","",G380-Settings!$B$6)</f>
        <v/>
      </c>
      <c r="K380">
        <f>IF(J380="","",IF(J380&lt;Settings!$B$5,Settings!$B$3,Settings!$B$4))</f>
        <v/>
      </c>
      <c r="L380">
        <f>IF(G380="","",G380*Settings!$B$2)</f>
        <v/>
      </c>
      <c r="M380">
        <f>IF(OR(G380="",J380=""),"",G380-L380-J380-K380-Settings!$B$6)</f>
        <v/>
      </c>
      <c r="N380">
        <f>IF(M380="","",IF(H380="Y","OK",IF(M380&gt;=Settings!$B$8,"MATCH","HOLD")))</f>
        <v/>
      </c>
    </row>
    <row r="381">
      <c r="E381">
        <f>IF(D381="","",Settings!$B$6)</f>
        <v/>
      </c>
      <c r="F381">
        <f>IF(D381="","",D381+E381)</f>
        <v/>
      </c>
      <c r="I381">
        <f>IF(G381="","",G381-Settings!$B$6)</f>
        <v/>
      </c>
      <c r="K381">
        <f>IF(J381="","",IF(J381&lt;Settings!$B$5,Settings!$B$3,Settings!$B$4))</f>
        <v/>
      </c>
      <c r="L381">
        <f>IF(G381="","",G381*Settings!$B$2)</f>
        <v/>
      </c>
      <c r="M381">
        <f>IF(OR(G381="",J381=""),"",G381-L381-J381-K381-Settings!$B$6)</f>
        <v/>
      </c>
      <c r="N381">
        <f>IF(M381="","",IF(H381="Y","OK",IF(M381&gt;=Settings!$B$8,"MATCH","HOLD")))</f>
        <v/>
      </c>
    </row>
    <row r="382">
      <c r="E382">
        <f>IF(D382="","",Settings!$B$6)</f>
        <v/>
      </c>
      <c r="F382">
        <f>IF(D382="","",D382+E382)</f>
        <v/>
      </c>
      <c r="I382">
        <f>IF(G382="","",G382-Settings!$B$6)</f>
        <v/>
      </c>
      <c r="K382">
        <f>IF(J382="","",IF(J382&lt;Settings!$B$5,Settings!$B$3,Settings!$B$4))</f>
        <v/>
      </c>
      <c r="L382">
        <f>IF(G382="","",G382*Settings!$B$2)</f>
        <v/>
      </c>
      <c r="M382">
        <f>IF(OR(G382="",J382=""),"",G382-L382-J382-K382-Settings!$B$6)</f>
        <v/>
      </c>
      <c r="N382">
        <f>IF(M382="","",IF(H382="Y","OK",IF(M382&gt;=Settings!$B$8,"MATCH","HOLD")))</f>
        <v/>
      </c>
    </row>
    <row r="383">
      <c r="E383">
        <f>IF(D383="","",Settings!$B$6)</f>
        <v/>
      </c>
      <c r="F383">
        <f>IF(D383="","",D383+E383)</f>
        <v/>
      </c>
      <c r="I383">
        <f>IF(G383="","",G383-Settings!$B$6)</f>
        <v/>
      </c>
      <c r="K383">
        <f>IF(J383="","",IF(J383&lt;Settings!$B$5,Settings!$B$3,Settings!$B$4))</f>
        <v/>
      </c>
      <c r="L383">
        <f>IF(G383="","",G383*Settings!$B$2)</f>
        <v/>
      </c>
      <c r="M383">
        <f>IF(OR(G383="",J383=""),"",G383-L383-J383-K383-Settings!$B$6)</f>
        <v/>
      </c>
      <c r="N383">
        <f>IF(M383="","",IF(H383="Y","OK",IF(M383&gt;=Settings!$B$8,"MATCH","HOLD")))</f>
        <v/>
      </c>
    </row>
    <row r="384">
      <c r="E384">
        <f>IF(D384="","",Settings!$B$6)</f>
        <v/>
      </c>
      <c r="F384">
        <f>IF(D384="","",D384+E384)</f>
        <v/>
      </c>
      <c r="I384">
        <f>IF(G384="","",G384-Settings!$B$6)</f>
        <v/>
      </c>
      <c r="K384">
        <f>IF(J384="","",IF(J384&lt;Settings!$B$5,Settings!$B$3,Settings!$B$4))</f>
        <v/>
      </c>
      <c r="L384">
        <f>IF(G384="","",G384*Settings!$B$2)</f>
        <v/>
      </c>
      <c r="M384">
        <f>IF(OR(G384="",J384=""),"",G384-L384-J384-K384-Settings!$B$6)</f>
        <v/>
      </c>
      <c r="N384">
        <f>IF(M384="","",IF(H384="Y","OK",IF(M384&gt;=Settings!$B$8,"MATCH","HOLD")))</f>
        <v/>
      </c>
    </row>
    <row r="385">
      <c r="E385">
        <f>IF(D385="","",Settings!$B$6)</f>
        <v/>
      </c>
      <c r="F385">
        <f>IF(D385="","",D385+E385)</f>
        <v/>
      </c>
      <c r="I385">
        <f>IF(G385="","",G385-Settings!$B$6)</f>
        <v/>
      </c>
      <c r="K385">
        <f>IF(J385="","",IF(J385&lt;Settings!$B$5,Settings!$B$3,Settings!$B$4))</f>
        <v/>
      </c>
      <c r="L385">
        <f>IF(G385="","",G385*Settings!$B$2)</f>
        <v/>
      </c>
      <c r="M385">
        <f>IF(OR(G385="",J385=""),"",G385-L385-J385-K385-Settings!$B$6)</f>
        <v/>
      </c>
      <c r="N385">
        <f>IF(M385="","",IF(H385="Y","OK",IF(M385&gt;=Settings!$B$8,"MATCH","HOLD")))</f>
        <v/>
      </c>
    </row>
    <row r="386">
      <c r="E386">
        <f>IF(D386="","",Settings!$B$6)</f>
        <v/>
      </c>
      <c r="F386">
        <f>IF(D386="","",D386+E386)</f>
        <v/>
      </c>
      <c r="I386">
        <f>IF(G386="","",G386-Settings!$B$6)</f>
        <v/>
      </c>
      <c r="K386">
        <f>IF(J386="","",IF(J386&lt;Settings!$B$5,Settings!$B$3,Settings!$B$4))</f>
        <v/>
      </c>
      <c r="L386">
        <f>IF(G386="","",G386*Settings!$B$2)</f>
        <v/>
      </c>
      <c r="M386">
        <f>IF(OR(G386="",J386=""),"",G386-L386-J386-K386-Settings!$B$6)</f>
        <v/>
      </c>
      <c r="N386">
        <f>IF(M386="","",IF(H386="Y","OK",IF(M386&gt;=Settings!$B$8,"MATCH","HOLD")))</f>
        <v/>
      </c>
    </row>
    <row r="387">
      <c r="E387">
        <f>IF(D387="","",Settings!$B$6)</f>
        <v/>
      </c>
      <c r="F387">
        <f>IF(D387="","",D387+E387)</f>
        <v/>
      </c>
      <c r="I387">
        <f>IF(G387="","",G387-Settings!$B$6)</f>
        <v/>
      </c>
      <c r="K387">
        <f>IF(J387="","",IF(J387&lt;Settings!$B$5,Settings!$B$3,Settings!$B$4))</f>
        <v/>
      </c>
      <c r="L387">
        <f>IF(G387="","",G387*Settings!$B$2)</f>
        <v/>
      </c>
      <c r="M387">
        <f>IF(OR(G387="",J387=""),"",G387-L387-J387-K387-Settings!$B$6)</f>
        <v/>
      </c>
      <c r="N387">
        <f>IF(M387="","",IF(H387="Y","OK",IF(M387&gt;=Settings!$B$8,"MATCH","HOLD")))</f>
        <v/>
      </c>
    </row>
    <row r="388">
      <c r="E388">
        <f>IF(D388="","",Settings!$B$6)</f>
        <v/>
      </c>
      <c r="F388">
        <f>IF(D388="","",D388+E388)</f>
        <v/>
      </c>
      <c r="I388">
        <f>IF(G388="","",G388-Settings!$B$6)</f>
        <v/>
      </c>
      <c r="K388">
        <f>IF(J388="","",IF(J388&lt;Settings!$B$5,Settings!$B$3,Settings!$B$4))</f>
        <v/>
      </c>
      <c r="L388">
        <f>IF(G388="","",G388*Settings!$B$2)</f>
        <v/>
      </c>
      <c r="M388">
        <f>IF(OR(G388="",J388=""),"",G388-L388-J388-K388-Settings!$B$6)</f>
        <v/>
      </c>
      <c r="N388">
        <f>IF(M388="","",IF(H388="Y","OK",IF(M388&gt;=Settings!$B$8,"MATCH","HOLD")))</f>
        <v/>
      </c>
    </row>
    <row r="389">
      <c r="E389">
        <f>IF(D389="","",Settings!$B$6)</f>
        <v/>
      </c>
      <c r="F389">
        <f>IF(D389="","",D389+E389)</f>
        <v/>
      </c>
      <c r="I389">
        <f>IF(G389="","",G389-Settings!$B$6)</f>
        <v/>
      </c>
      <c r="K389">
        <f>IF(J389="","",IF(J389&lt;Settings!$B$5,Settings!$B$3,Settings!$B$4))</f>
        <v/>
      </c>
      <c r="L389">
        <f>IF(G389="","",G389*Settings!$B$2)</f>
        <v/>
      </c>
      <c r="M389">
        <f>IF(OR(G389="",J389=""),"",G389-L389-J389-K389-Settings!$B$6)</f>
        <v/>
      </c>
      <c r="N389">
        <f>IF(M389="","",IF(H389="Y","OK",IF(M389&gt;=Settings!$B$8,"MATCH","HOLD")))</f>
        <v/>
      </c>
    </row>
    <row r="390">
      <c r="E390">
        <f>IF(D390="","",Settings!$B$6)</f>
        <v/>
      </c>
      <c r="F390">
        <f>IF(D390="","",D390+E390)</f>
        <v/>
      </c>
      <c r="I390">
        <f>IF(G390="","",G390-Settings!$B$6)</f>
        <v/>
      </c>
      <c r="K390">
        <f>IF(J390="","",IF(J390&lt;Settings!$B$5,Settings!$B$3,Settings!$B$4))</f>
        <v/>
      </c>
      <c r="L390">
        <f>IF(G390="","",G390*Settings!$B$2)</f>
        <v/>
      </c>
      <c r="M390">
        <f>IF(OR(G390="",J390=""),"",G390-L390-J390-K390-Settings!$B$6)</f>
        <v/>
      </c>
      <c r="N390">
        <f>IF(M390="","",IF(H390="Y","OK",IF(M390&gt;=Settings!$B$8,"MATCH","HOLD")))</f>
        <v/>
      </c>
    </row>
    <row r="391">
      <c r="E391">
        <f>IF(D391="","",Settings!$B$6)</f>
        <v/>
      </c>
      <c r="F391">
        <f>IF(D391="","",D391+E391)</f>
        <v/>
      </c>
      <c r="I391">
        <f>IF(G391="","",G391-Settings!$B$6)</f>
        <v/>
      </c>
      <c r="K391">
        <f>IF(J391="","",IF(J391&lt;Settings!$B$5,Settings!$B$3,Settings!$B$4))</f>
        <v/>
      </c>
      <c r="L391">
        <f>IF(G391="","",G391*Settings!$B$2)</f>
        <v/>
      </c>
      <c r="M391">
        <f>IF(OR(G391="",J391=""),"",G391-L391-J391-K391-Settings!$B$6)</f>
        <v/>
      </c>
      <c r="N391">
        <f>IF(M391="","",IF(H391="Y","OK",IF(M391&gt;=Settings!$B$8,"MATCH","HOLD")))</f>
        <v/>
      </c>
    </row>
    <row r="392">
      <c r="E392">
        <f>IF(D392="","",Settings!$B$6)</f>
        <v/>
      </c>
      <c r="F392">
        <f>IF(D392="","",D392+E392)</f>
        <v/>
      </c>
      <c r="I392">
        <f>IF(G392="","",G392-Settings!$B$6)</f>
        <v/>
      </c>
      <c r="K392">
        <f>IF(J392="","",IF(J392&lt;Settings!$B$5,Settings!$B$3,Settings!$B$4))</f>
        <v/>
      </c>
      <c r="L392">
        <f>IF(G392="","",G392*Settings!$B$2)</f>
        <v/>
      </c>
      <c r="M392">
        <f>IF(OR(G392="",J392=""),"",G392-L392-J392-K392-Settings!$B$6)</f>
        <v/>
      </c>
      <c r="N392">
        <f>IF(M392="","",IF(H392="Y","OK",IF(M392&gt;=Settings!$B$8,"MATCH","HOLD")))</f>
        <v/>
      </c>
    </row>
    <row r="393">
      <c r="E393">
        <f>IF(D393="","",Settings!$B$6)</f>
        <v/>
      </c>
      <c r="F393">
        <f>IF(D393="","",D393+E393)</f>
        <v/>
      </c>
      <c r="I393">
        <f>IF(G393="","",G393-Settings!$B$6)</f>
        <v/>
      </c>
      <c r="K393">
        <f>IF(J393="","",IF(J393&lt;Settings!$B$5,Settings!$B$3,Settings!$B$4))</f>
        <v/>
      </c>
      <c r="L393">
        <f>IF(G393="","",G393*Settings!$B$2)</f>
        <v/>
      </c>
      <c r="M393">
        <f>IF(OR(G393="",J393=""),"",G393-L393-J393-K393-Settings!$B$6)</f>
        <v/>
      </c>
      <c r="N393">
        <f>IF(M393="","",IF(H393="Y","OK",IF(M393&gt;=Settings!$B$8,"MATCH","HOLD")))</f>
        <v/>
      </c>
    </row>
    <row r="394">
      <c r="E394">
        <f>IF(D394="","",Settings!$B$6)</f>
        <v/>
      </c>
      <c r="F394">
        <f>IF(D394="","",D394+E394)</f>
        <v/>
      </c>
      <c r="I394">
        <f>IF(G394="","",G394-Settings!$B$6)</f>
        <v/>
      </c>
      <c r="K394">
        <f>IF(J394="","",IF(J394&lt;Settings!$B$5,Settings!$B$3,Settings!$B$4))</f>
        <v/>
      </c>
      <c r="L394">
        <f>IF(G394="","",G394*Settings!$B$2)</f>
        <v/>
      </c>
      <c r="M394">
        <f>IF(OR(G394="",J394=""),"",G394-L394-J394-K394-Settings!$B$6)</f>
        <v/>
      </c>
      <c r="N394">
        <f>IF(M394="","",IF(H394="Y","OK",IF(M394&gt;=Settings!$B$8,"MATCH","HOLD")))</f>
        <v/>
      </c>
    </row>
    <row r="395">
      <c r="E395">
        <f>IF(D395="","",Settings!$B$6)</f>
        <v/>
      </c>
      <c r="F395">
        <f>IF(D395="","",D395+E395)</f>
        <v/>
      </c>
      <c r="I395">
        <f>IF(G395="","",G395-Settings!$B$6)</f>
        <v/>
      </c>
      <c r="K395">
        <f>IF(J395="","",IF(J395&lt;Settings!$B$5,Settings!$B$3,Settings!$B$4))</f>
        <v/>
      </c>
      <c r="L395">
        <f>IF(G395="","",G395*Settings!$B$2)</f>
        <v/>
      </c>
      <c r="M395">
        <f>IF(OR(G395="",J395=""),"",G395-L395-J395-K395-Settings!$B$6)</f>
        <v/>
      </c>
      <c r="N395">
        <f>IF(M395="","",IF(H395="Y","OK",IF(M395&gt;=Settings!$B$8,"MATCH","HOLD")))</f>
        <v/>
      </c>
    </row>
    <row r="396">
      <c r="E396">
        <f>IF(D396="","",Settings!$B$6)</f>
        <v/>
      </c>
      <c r="F396">
        <f>IF(D396="","",D396+E396)</f>
        <v/>
      </c>
      <c r="I396">
        <f>IF(G396="","",G396-Settings!$B$6)</f>
        <v/>
      </c>
      <c r="K396">
        <f>IF(J396="","",IF(J396&lt;Settings!$B$5,Settings!$B$3,Settings!$B$4))</f>
        <v/>
      </c>
      <c r="L396">
        <f>IF(G396="","",G396*Settings!$B$2)</f>
        <v/>
      </c>
      <c r="M396">
        <f>IF(OR(G396="",J396=""),"",G396-L396-J396-K396-Settings!$B$6)</f>
        <v/>
      </c>
      <c r="N396">
        <f>IF(M396="","",IF(H396="Y","OK",IF(M396&gt;=Settings!$B$8,"MATCH","HOLD")))</f>
        <v/>
      </c>
    </row>
    <row r="397">
      <c r="E397">
        <f>IF(D397="","",Settings!$B$6)</f>
        <v/>
      </c>
      <c r="F397">
        <f>IF(D397="","",D397+E397)</f>
        <v/>
      </c>
      <c r="I397">
        <f>IF(G397="","",G397-Settings!$B$6)</f>
        <v/>
      </c>
      <c r="K397">
        <f>IF(J397="","",IF(J397&lt;Settings!$B$5,Settings!$B$3,Settings!$B$4))</f>
        <v/>
      </c>
      <c r="L397">
        <f>IF(G397="","",G397*Settings!$B$2)</f>
        <v/>
      </c>
      <c r="M397">
        <f>IF(OR(G397="",J397=""),"",G397-L397-J397-K397-Settings!$B$6)</f>
        <v/>
      </c>
      <c r="N397">
        <f>IF(M397="","",IF(H397="Y","OK",IF(M397&gt;=Settings!$B$8,"MATCH","HOLD")))</f>
        <v/>
      </c>
    </row>
    <row r="398">
      <c r="E398">
        <f>IF(D398="","",Settings!$B$6)</f>
        <v/>
      </c>
      <c r="F398">
        <f>IF(D398="","",D398+E398)</f>
        <v/>
      </c>
      <c r="I398">
        <f>IF(G398="","",G398-Settings!$B$6)</f>
        <v/>
      </c>
      <c r="K398">
        <f>IF(J398="","",IF(J398&lt;Settings!$B$5,Settings!$B$3,Settings!$B$4))</f>
        <v/>
      </c>
      <c r="L398">
        <f>IF(G398="","",G398*Settings!$B$2)</f>
        <v/>
      </c>
      <c r="M398">
        <f>IF(OR(G398="",J398=""),"",G398-L398-J398-K398-Settings!$B$6)</f>
        <v/>
      </c>
      <c r="N398">
        <f>IF(M398="","",IF(H398="Y","OK",IF(M398&gt;=Settings!$B$8,"MATCH","HOLD")))</f>
        <v/>
      </c>
    </row>
    <row r="399">
      <c r="E399">
        <f>IF(D399="","",Settings!$B$6)</f>
        <v/>
      </c>
      <c r="F399">
        <f>IF(D399="","",D399+E399)</f>
        <v/>
      </c>
      <c r="I399">
        <f>IF(G399="","",G399-Settings!$B$6)</f>
        <v/>
      </c>
      <c r="K399">
        <f>IF(J399="","",IF(J399&lt;Settings!$B$5,Settings!$B$3,Settings!$B$4))</f>
        <v/>
      </c>
      <c r="L399">
        <f>IF(G399="","",G399*Settings!$B$2)</f>
        <v/>
      </c>
      <c r="M399">
        <f>IF(OR(G399="",J399=""),"",G399-L399-J399-K399-Settings!$B$6)</f>
        <v/>
      </c>
      <c r="N399">
        <f>IF(M399="","",IF(H399="Y","OK",IF(M399&gt;=Settings!$B$8,"MATCH","HOLD")))</f>
        <v/>
      </c>
    </row>
    <row r="400">
      <c r="E400">
        <f>IF(D400="","",Settings!$B$6)</f>
        <v/>
      </c>
      <c r="F400">
        <f>IF(D400="","",D400+E400)</f>
        <v/>
      </c>
      <c r="I400">
        <f>IF(G400="","",G400-Settings!$B$6)</f>
        <v/>
      </c>
      <c r="K400">
        <f>IF(J400="","",IF(J400&lt;Settings!$B$5,Settings!$B$3,Settings!$B$4))</f>
        <v/>
      </c>
      <c r="L400">
        <f>IF(G400="","",G400*Settings!$B$2)</f>
        <v/>
      </c>
      <c r="M400">
        <f>IF(OR(G400="",J400=""),"",G400-L400-J400-K400-Settings!$B$6)</f>
        <v/>
      </c>
      <c r="N400">
        <f>IF(M400="","",IF(H400="Y","OK",IF(M400&gt;=Settings!$B$8,"MATCH","HOLD")))</f>
        <v/>
      </c>
    </row>
    <row r="401">
      <c r="E401">
        <f>IF(D401="","",Settings!$B$6)</f>
        <v/>
      </c>
      <c r="F401">
        <f>IF(D401="","",D401+E401)</f>
        <v/>
      </c>
      <c r="I401">
        <f>IF(G401="","",G401-Settings!$B$6)</f>
        <v/>
      </c>
      <c r="K401">
        <f>IF(J401="","",IF(J401&lt;Settings!$B$5,Settings!$B$3,Settings!$B$4))</f>
        <v/>
      </c>
      <c r="L401">
        <f>IF(G401="","",G401*Settings!$B$2)</f>
        <v/>
      </c>
      <c r="M401">
        <f>IF(OR(G401="",J401=""),"",G401-L401-J401-K401-Settings!$B$6)</f>
        <v/>
      </c>
      <c r="N401">
        <f>IF(M401="","",IF(H401="Y","OK",IF(M401&gt;=Settings!$B$8,"MATCH","HOLD")))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6" customWidth="1" min="5" max="5"/>
    <col width="14" customWidth="1" min="6" max="6"/>
    <col width="14" customWidth="1" min="7" max="7"/>
    <col width="12" customWidth="1" min="8" max="8"/>
    <col width="14" customWidth="1" min="9" max="9"/>
    <col width="18" customWidth="1" min="10" max="10"/>
    <col width="14" customWidth="1" min="11" max="11"/>
    <col width="10" customWidth="1" min="12" max="12"/>
    <col width="22" customWidth="1" min="13" max="13"/>
    <col width="30" customWidth="1" min="14" max="14"/>
  </cols>
  <sheetData>
    <row r="1">
      <c r="A1" s="3" t="inlineStr">
        <is>
          <t>Amazon order date</t>
        </is>
      </c>
      <c r="B1" s="3" t="inlineStr">
        <is>
          <t>Amazon order ID</t>
        </is>
      </c>
      <c r="C1" s="3" t="inlineStr">
        <is>
          <t>PO (last 7 digits)</t>
        </is>
      </c>
      <c r="D1" s="3" t="inlineStr">
        <is>
          <t>SKU</t>
        </is>
      </c>
      <c r="E1" s="3" t="inlineStr">
        <is>
          <t>Qty</t>
        </is>
      </c>
      <c r="F1" s="3" t="inlineStr">
        <is>
          <t>Supplier order placed (date)</t>
        </is>
      </c>
      <c r="G1" s="3" t="inlineStr">
        <is>
          <t>Supplier reference #</t>
        </is>
      </c>
      <c r="H1" s="3" t="inlineStr">
        <is>
          <t>Carrier</t>
        </is>
      </c>
      <c r="I1" s="3" t="inlineStr">
        <is>
          <t>Service</t>
        </is>
      </c>
      <c r="J1" s="3" t="inlineStr">
        <is>
          <t>Tracking #</t>
        </is>
      </c>
      <c r="K1" s="3" t="inlineStr">
        <is>
          <t>Shipment confirmed on Amazon (date)</t>
        </is>
      </c>
      <c r="L1" s="3" t="inlineStr">
        <is>
          <t>Days order to confirm</t>
        </is>
      </c>
      <c r="M1" s="3" t="inlineStr">
        <is>
          <t>Status</t>
        </is>
      </c>
      <c r="N1" s="3" t="inlineStr">
        <is>
          <t>Notes</t>
        </is>
      </c>
    </row>
    <row r="2">
      <c r="C2">
        <f>IF(B2="","",RIGHT(B2,7))</f>
        <v/>
      </c>
      <c r="L2">
        <f>IF(OR(A2="",K2=""),"",K2-A2)</f>
        <v/>
      </c>
      <c r="M2">
        <f>IF(B2="","",IF(K2&lt;&gt;"","Shipped",IF(F2&lt;&gt;"","Ordered, awaiting tracking","NOT ORDERED")))</f>
        <v/>
      </c>
    </row>
    <row r="3">
      <c r="C3">
        <f>IF(B3="","",RIGHT(B3,7))</f>
        <v/>
      </c>
      <c r="L3">
        <f>IF(OR(A3="",K3=""),"",K3-A3)</f>
        <v/>
      </c>
      <c r="M3">
        <f>IF(B3="","",IF(K3&lt;&gt;"","Shipped",IF(F3&lt;&gt;"","Ordered, awaiting tracking","NOT ORDERED")))</f>
        <v/>
      </c>
    </row>
    <row r="4">
      <c r="C4">
        <f>IF(B4="","",RIGHT(B4,7))</f>
        <v/>
      </c>
      <c r="L4">
        <f>IF(OR(A4="",K4=""),"",K4-A4)</f>
        <v/>
      </c>
      <c r="M4">
        <f>IF(B4="","",IF(K4&lt;&gt;"","Shipped",IF(F4&lt;&gt;"","Ordered, awaiting tracking","NOT ORDERED")))</f>
        <v/>
      </c>
    </row>
    <row r="5">
      <c r="C5">
        <f>IF(B5="","",RIGHT(B5,7))</f>
        <v/>
      </c>
      <c r="L5">
        <f>IF(OR(A5="",K5=""),"",K5-A5)</f>
        <v/>
      </c>
      <c r="M5">
        <f>IF(B5="","",IF(K5&lt;&gt;"","Shipped",IF(F5&lt;&gt;"","Ordered, awaiting tracking","NOT ORDERED")))</f>
        <v/>
      </c>
    </row>
    <row r="6">
      <c r="C6">
        <f>IF(B6="","",RIGHT(B6,7))</f>
        <v/>
      </c>
      <c r="L6">
        <f>IF(OR(A6="",K6=""),"",K6-A6)</f>
        <v/>
      </c>
      <c r="M6">
        <f>IF(B6="","",IF(K6&lt;&gt;"","Shipped",IF(F6&lt;&gt;"","Ordered, awaiting tracking","NOT ORDERED")))</f>
        <v/>
      </c>
    </row>
    <row r="7">
      <c r="C7">
        <f>IF(B7="","",RIGHT(B7,7))</f>
        <v/>
      </c>
      <c r="L7">
        <f>IF(OR(A7="",K7=""),"",K7-A7)</f>
        <v/>
      </c>
      <c r="M7">
        <f>IF(B7="","",IF(K7&lt;&gt;"","Shipped",IF(F7&lt;&gt;"","Ordered, awaiting tracking","NOT ORDERED")))</f>
        <v/>
      </c>
    </row>
    <row r="8">
      <c r="C8">
        <f>IF(B8="","",RIGHT(B8,7))</f>
        <v/>
      </c>
      <c r="L8">
        <f>IF(OR(A8="",K8=""),"",K8-A8)</f>
        <v/>
      </c>
      <c r="M8">
        <f>IF(B8="","",IF(K8&lt;&gt;"","Shipped",IF(F8&lt;&gt;"","Ordered, awaiting tracking","NOT ORDERED")))</f>
        <v/>
      </c>
    </row>
    <row r="9">
      <c r="C9">
        <f>IF(B9="","",RIGHT(B9,7))</f>
        <v/>
      </c>
      <c r="L9">
        <f>IF(OR(A9="",K9=""),"",K9-A9)</f>
        <v/>
      </c>
      <c r="M9">
        <f>IF(B9="","",IF(K9&lt;&gt;"","Shipped",IF(F9&lt;&gt;"","Ordered, awaiting tracking","NOT ORDERED")))</f>
        <v/>
      </c>
    </row>
    <row r="10">
      <c r="C10">
        <f>IF(B10="","",RIGHT(B10,7))</f>
        <v/>
      </c>
      <c r="L10">
        <f>IF(OR(A10="",K10=""),"",K10-A10)</f>
        <v/>
      </c>
      <c r="M10">
        <f>IF(B10="","",IF(K10&lt;&gt;"","Shipped",IF(F10&lt;&gt;"","Ordered, awaiting tracking","NOT ORDERED")))</f>
        <v/>
      </c>
    </row>
    <row r="11">
      <c r="C11">
        <f>IF(B11="","",RIGHT(B11,7))</f>
        <v/>
      </c>
      <c r="L11">
        <f>IF(OR(A11="",K11=""),"",K11-A11)</f>
        <v/>
      </c>
      <c r="M11">
        <f>IF(B11="","",IF(K11&lt;&gt;"","Shipped",IF(F11&lt;&gt;"","Ordered, awaiting tracking","NOT ORDERED")))</f>
        <v/>
      </c>
    </row>
    <row r="12">
      <c r="C12">
        <f>IF(B12="","",RIGHT(B12,7))</f>
        <v/>
      </c>
      <c r="L12">
        <f>IF(OR(A12="",K12=""),"",K12-A12)</f>
        <v/>
      </c>
      <c r="M12">
        <f>IF(B12="","",IF(K12&lt;&gt;"","Shipped",IF(F12&lt;&gt;"","Ordered, awaiting tracking","NOT ORDERED")))</f>
        <v/>
      </c>
    </row>
    <row r="13">
      <c r="C13">
        <f>IF(B13="","",RIGHT(B13,7))</f>
        <v/>
      </c>
      <c r="L13">
        <f>IF(OR(A13="",K13=""),"",K13-A13)</f>
        <v/>
      </c>
      <c r="M13">
        <f>IF(B13="","",IF(K13&lt;&gt;"","Shipped",IF(F13&lt;&gt;"","Ordered, awaiting tracking","NOT ORDERED")))</f>
        <v/>
      </c>
    </row>
    <row r="14">
      <c r="C14">
        <f>IF(B14="","",RIGHT(B14,7))</f>
        <v/>
      </c>
      <c r="L14">
        <f>IF(OR(A14="",K14=""),"",K14-A14)</f>
        <v/>
      </c>
      <c r="M14">
        <f>IF(B14="","",IF(K14&lt;&gt;"","Shipped",IF(F14&lt;&gt;"","Ordered, awaiting tracking","NOT ORDERED")))</f>
        <v/>
      </c>
    </row>
    <row r="15">
      <c r="C15">
        <f>IF(B15="","",RIGHT(B15,7))</f>
        <v/>
      </c>
      <c r="L15">
        <f>IF(OR(A15="",K15=""),"",K15-A15)</f>
        <v/>
      </c>
      <c r="M15">
        <f>IF(B15="","",IF(K15&lt;&gt;"","Shipped",IF(F15&lt;&gt;"","Ordered, awaiting tracking","NOT ORDERED")))</f>
        <v/>
      </c>
    </row>
    <row r="16">
      <c r="C16">
        <f>IF(B16="","",RIGHT(B16,7))</f>
        <v/>
      </c>
      <c r="L16">
        <f>IF(OR(A16="",K16=""),"",K16-A16)</f>
        <v/>
      </c>
      <c r="M16">
        <f>IF(B16="","",IF(K16&lt;&gt;"","Shipped",IF(F16&lt;&gt;"","Ordered, awaiting tracking","NOT ORDERED")))</f>
        <v/>
      </c>
    </row>
    <row r="17">
      <c r="C17">
        <f>IF(B17="","",RIGHT(B17,7))</f>
        <v/>
      </c>
      <c r="L17">
        <f>IF(OR(A17="",K17=""),"",K17-A17)</f>
        <v/>
      </c>
      <c r="M17">
        <f>IF(B17="","",IF(K17&lt;&gt;"","Shipped",IF(F17&lt;&gt;"","Ordered, awaiting tracking","NOT ORDERED")))</f>
        <v/>
      </c>
    </row>
    <row r="18">
      <c r="C18">
        <f>IF(B18="","",RIGHT(B18,7))</f>
        <v/>
      </c>
      <c r="L18">
        <f>IF(OR(A18="",K18=""),"",K18-A18)</f>
        <v/>
      </c>
      <c r="M18">
        <f>IF(B18="","",IF(K18&lt;&gt;"","Shipped",IF(F18&lt;&gt;"","Ordered, awaiting tracking","NOT ORDERED")))</f>
        <v/>
      </c>
    </row>
    <row r="19">
      <c r="C19">
        <f>IF(B19="","",RIGHT(B19,7))</f>
        <v/>
      </c>
      <c r="L19">
        <f>IF(OR(A19="",K19=""),"",K19-A19)</f>
        <v/>
      </c>
      <c r="M19">
        <f>IF(B19="","",IF(K19&lt;&gt;"","Shipped",IF(F19&lt;&gt;"","Ordered, awaiting tracking","NOT ORDERED")))</f>
        <v/>
      </c>
    </row>
    <row r="20">
      <c r="C20">
        <f>IF(B20="","",RIGHT(B20,7))</f>
        <v/>
      </c>
      <c r="L20">
        <f>IF(OR(A20="",K20=""),"",K20-A20)</f>
        <v/>
      </c>
      <c r="M20">
        <f>IF(B20="","",IF(K20&lt;&gt;"","Shipped",IF(F20&lt;&gt;"","Ordered, awaiting tracking","NOT ORDERED")))</f>
        <v/>
      </c>
    </row>
    <row r="21">
      <c r="C21">
        <f>IF(B21="","",RIGHT(B21,7))</f>
        <v/>
      </c>
      <c r="L21">
        <f>IF(OR(A21="",K21=""),"",K21-A21)</f>
        <v/>
      </c>
      <c r="M21">
        <f>IF(B21="","",IF(K21&lt;&gt;"","Shipped",IF(F21&lt;&gt;"","Ordered, awaiting tracking","NOT ORDERED")))</f>
        <v/>
      </c>
    </row>
    <row r="22">
      <c r="C22">
        <f>IF(B22="","",RIGHT(B22,7))</f>
        <v/>
      </c>
      <c r="L22">
        <f>IF(OR(A22="",K22=""),"",K22-A22)</f>
        <v/>
      </c>
      <c r="M22">
        <f>IF(B22="","",IF(K22&lt;&gt;"","Shipped",IF(F22&lt;&gt;"","Ordered, awaiting tracking","NOT ORDERED")))</f>
        <v/>
      </c>
    </row>
    <row r="23">
      <c r="C23">
        <f>IF(B23="","",RIGHT(B23,7))</f>
        <v/>
      </c>
      <c r="L23">
        <f>IF(OR(A23="",K23=""),"",K23-A23)</f>
        <v/>
      </c>
      <c r="M23">
        <f>IF(B23="","",IF(K23&lt;&gt;"","Shipped",IF(F23&lt;&gt;"","Ordered, awaiting tracking","NOT ORDERED")))</f>
        <v/>
      </c>
    </row>
    <row r="24">
      <c r="C24">
        <f>IF(B24="","",RIGHT(B24,7))</f>
        <v/>
      </c>
      <c r="L24">
        <f>IF(OR(A24="",K24=""),"",K24-A24)</f>
        <v/>
      </c>
      <c r="M24">
        <f>IF(B24="","",IF(K24&lt;&gt;"","Shipped",IF(F24&lt;&gt;"","Ordered, awaiting tracking","NOT ORDERED")))</f>
        <v/>
      </c>
    </row>
    <row r="25">
      <c r="C25">
        <f>IF(B25="","",RIGHT(B25,7))</f>
        <v/>
      </c>
      <c r="L25">
        <f>IF(OR(A25="",K25=""),"",K25-A25)</f>
        <v/>
      </c>
      <c r="M25">
        <f>IF(B25="","",IF(K25&lt;&gt;"","Shipped",IF(F25&lt;&gt;"","Ordered, awaiting tracking","NOT ORDERED")))</f>
        <v/>
      </c>
    </row>
    <row r="26">
      <c r="C26">
        <f>IF(B26="","",RIGHT(B26,7))</f>
        <v/>
      </c>
      <c r="L26">
        <f>IF(OR(A26="",K26=""),"",K26-A26)</f>
        <v/>
      </c>
      <c r="M26">
        <f>IF(B26="","",IF(K26&lt;&gt;"","Shipped",IF(F26&lt;&gt;"","Ordered, awaiting tracking","NOT ORDERED")))</f>
        <v/>
      </c>
    </row>
    <row r="27">
      <c r="C27">
        <f>IF(B27="","",RIGHT(B27,7))</f>
        <v/>
      </c>
      <c r="L27">
        <f>IF(OR(A27="",K27=""),"",K27-A27)</f>
        <v/>
      </c>
      <c r="M27">
        <f>IF(B27="","",IF(K27&lt;&gt;"","Shipped",IF(F27&lt;&gt;"","Ordered, awaiting tracking","NOT ORDERED")))</f>
        <v/>
      </c>
    </row>
    <row r="28">
      <c r="C28">
        <f>IF(B28="","",RIGHT(B28,7))</f>
        <v/>
      </c>
      <c r="L28">
        <f>IF(OR(A28="",K28=""),"",K28-A28)</f>
        <v/>
      </c>
      <c r="M28">
        <f>IF(B28="","",IF(K28&lt;&gt;"","Shipped",IF(F28&lt;&gt;"","Ordered, awaiting tracking","NOT ORDERED")))</f>
        <v/>
      </c>
    </row>
    <row r="29">
      <c r="C29">
        <f>IF(B29="","",RIGHT(B29,7))</f>
        <v/>
      </c>
      <c r="L29">
        <f>IF(OR(A29="",K29=""),"",K29-A29)</f>
        <v/>
      </c>
      <c r="M29">
        <f>IF(B29="","",IF(K29&lt;&gt;"","Shipped",IF(F29&lt;&gt;"","Ordered, awaiting tracking","NOT ORDERED")))</f>
        <v/>
      </c>
    </row>
    <row r="30">
      <c r="C30">
        <f>IF(B30="","",RIGHT(B30,7))</f>
        <v/>
      </c>
      <c r="L30">
        <f>IF(OR(A30="",K30=""),"",K30-A30)</f>
        <v/>
      </c>
      <c r="M30">
        <f>IF(B30="","",IF(K30&lt;&gt;"","Shipped",IF(F30&lt;&gt;"","Ordered, awaiting tracking","NOT ORDERED")))</f>
        <v/>
      </c>
    </row>
    <row r="31">
      <c r="C31">
        <f>IF(B31="","",RIGHT(B31,7))</f>
        <v/>
      </c>
      <c r="L31">
        <f>IF(OR(A31="",K31=""),"",K31-A31)</f>
        <v/>
      </c>
      <c r="M31">
        <f>IF(B31="","",IF(K31&lt;&gt;"","Shipped",IF(F31&lt;&gt;"","Ordered, awaiting tracking","NOT ORDERED")))</f>
        <v/>
      </c>
    </row>
    <row r="32">
      <c r="C32">
        <f>IF(B32="","",RIGHT(B32,7))</f>
        <v/>
      </c>
      <c r="L32">
        <f>IF(OR(A32="",K32=""),"",K32-A32)</f>
        <v/>
      </c>
      <c r="M32">
        <f>IF(B32="","",IF(K32&lt;&gt;"","Shipped",IF(F32&lt;&gt;"","Ordered, awaiting tracking","NOT ORDERED")))</f>
        <v/>
      </c>
    </row>
    <row r="33">
      <c r="C33">
        <f>IF(B33="","",RIGHT(B33,7))</f>
        <v/>
      </c>
      <c r="L33">
        <f>IF(OR(A33="",K33=""),"",K33-A33)</f>
        <v/>
      </c>
      <c r="M33">
        <f>IF(B33="","",IF(K33&lt;&gt;"","Shipped",IF(F33&lt;&gt;"","Ordered, awaiting tracking","NOT ORDERED")))</f>
        <v/>
      </c>
    </row>
    <row r="34">
      <c r="C34">
        <f>IF(B34="","",RIGHT(B34,7))</f>
        <v/>
      </c>
      <c r="L34">
        <f>IF(OR(A34="",K34=""),"",K34-A34)</f>
        <v/>
      </c>
      <c r="M34">
        <f>IF(B34="","",IF(K34&lt;&gt;"","Shipped",IF(F34&lt;&gt;"","Ordered, awaiting tracking","NOT ORDERED")))</f>
        <v/>
      </c>
    </row>
    <row r="35">
      <c r="C35">
        <f>IF(B35="","",RIGHT(B35,7))</f>
        <v/>
      </c>
      <c r="L35">
        <f>IF(OR(A35="",K35=""),"",K35-A35)</f>
        <v/>
      </c>
      <c r="M35">
        <f>IF(B35="","",IF(K35&lt;&gt;"","Shipped",IF(F35&lt;&gt;"","Ordered, awaiting tracking","NOT ORDERED")))</f>
        <v/>
      </c>
    </row>
    <row r="36">
      <c r="C36">
        <f>IF(B36="","",RIGHT(B36,7))</f>
        <v/>
      </c>
      <c r="L36">
        <f>IF(OR(A36="",K36=""),"",K36-A36)</f>
        <v/>
      </c>
      <c r="M36">
        <f>IF(B36="","",IF(K36&lt;&gt;"","Shipped",IF(F36&lt;&gt;"","Ordered, awaiting tracking","NOT ORDERED")))</f>
        <v/>
      </c>
    </row>
    <row r="37">
      <c r="C37">
        <f>IF(B37="","",RIGHT(B37,7))</f>
        <v/>
      </c>
      <c r="L37">
        <f>IF(OR(A37="",K37=""),"",K37-A37)</f>
        <v/>
      </c>
      <c r="M37">
        <f>IF(B37="","",IF(K37&lt;&gt;"","Shipped",IF(F37&lt;&gt;"","Ordered, awaiting tracking","NOT ORDERED")))</f>
        <v/>
      </c>
    </row>
    <row r="38">
      <c r="C38">
        <f>IF(B38="","",RIGHT(B38,7))</f>
        <v/>
      </c>
      <c r="L38">
        <f>IF(OR(A38="",K38=""),"",K38-A38)</f>
        <v/>
      </c>
      <c r="M38">
        <f>IF(B38="","",IF(K38&lt;&gt;"","Shipped",IF(F38&lt;&gt;"","Ordered, awaiting tracking","NOT ORDERED")))</f>
        <v/>
      </c>
    </row>
    <row r="39">
      <c r="C39">
        <f>IF(B39="","",RIGHT(B39,7))</f>
        <v/>
      </c>
      <c r="L39">
        <f>IF(OR(A39="",K39=""),"",K39-A39)</f>
        <v/>
      </c>
      <c r="M39">
        <f>IF(B39="","",IF(K39&lt;&gt;"","Shipped",IF(F39&lt;&gt;"","Ordered, awaiting tracking","NOT ORDERED")))</f>
        <v/>
      </c>
    </row>
    <row r="40">
      <c r="C40">
        <f>IF(B40="","",RIGHT(B40,7))</f>
        <v/>
      </c>
      <c r="L40">
        <f>IF(OR(A40="",K40=""),"",K40-A40)</f>
        <v/>
      </c>
      <c r="M40">
        <f>IF(B40="","",IF(K40&lt;&gt;"","Shipped",IF(F40&lt;&gt;"","Ordered, awaiting tracking","NOT ORDERED")))</f>
        <v/>
      </c>
    </row>
    <row r="41">
      <c r="C41">
        <f>IF(B41="","",RIGHT(B41,7))</f>
        <v/>
      </c>
      <c r="L41">
        <f>IF(OR(A41="",K41=""),"",K41-A41)</f>
        <v/>
      </c>
      <c r="M41">
        <f>IF(B41="","",IF(K41&lt;&gt;"","Shipped",IF(F41&lt;&gt;"","Ordered, awaiting tracking","NOT ORDERED")))</f>
        <v/>
      </c>
    </row>
    <row r="42">
      <c r="C42">
        <f>IF(B42="","",RIGHT(B42,7))</f>
        <v/>
      </c>
      <c r="L42">
        <f>IF(OR(A42="",K42=""),"",K42-A42)</f>
        <v/>
      </c>
      <c r="M42">
        <f>IF(B42="","",IF(K42&lt;&gt;"","Shipped",IF(F42&lt;&gt;"","Ordered, awaiting tracking","NOT ORDERED")))</f>
        <v/>
      </c>
    </row>
    <row r="43">
      <c r="C43">
        <f>IF(B43="","",RIGHT(B43,7))</f>
        <v/>
      </c>
      <c r="L43">
        <f>IF(OR(A43="",K43=""),"",K43-A43)</f>
        <v/>
      </c>
      <c r="M43">
        <f>IF(B43="","",IF(K43&lt;&gt;"","Shipped",IF(F43&lt;&gt;"","Ordered, awaiting tracking","NOT ORDERED")))</f>
        <v/>
      </c>
    </row>
    <row r="44">
      <c r="C44">
        <f>IF(B44="","",RIGHT(B44,7))</f>
        <v/>
      </c>
      <c r="L44">
        <f>IF(OR(A44="",K44=""),"",K44-A44)</f>
        <v/>
      </c>
      <c r="M44">
        <f>IF(B44="","",IF(K44&lt;&gt;"","Shipped",IF(F44&lt;&gt;"","Ordered, awaiting tracking","NOT ORDERED")))</f>
        <v/>
      </c>
    </row>
    <row r="45">
      <c r="C45">
        <f>IF(B45="","",RIGHT(B45,7))</f>
        <v/>
      </c>
      <c r="L45">
        <f>IF(OR(A45="",K45=""),"",K45-A45)</f>
        <v/>
      </c>
      <c r="M45">
        <f>IF(B45="","",IF(K45&lt;&gt;"","Shipped",IF(F45&lt;&gt;"","Ordered, awaiting tracking","NOT ORDERED")))</f>
        <v/>
      </c>
    </row>
    <row r="46">
      <c r="C46">
        <f>IF(B46="","",RIGHT(B46,7))</f>
        <v/>
      </c>
      <c r="L46">
        <f>IF(OR(A46="",K46=""),"",K46-A46)</f>
        <v/>
      </c>
      <c r="M46">
        <f>IF(B46="","",IF(K46&lt;&gt;"","Shipped",IF(F46&lt;&gt;"","Ordered, awaiting tracking","NOT ORDERED")))</f>
        <v/>
      </c>
    </row>
    <row r="47">
      <c r="C47">
        <f>IF(B47="","",RIGHT(B47,7))</f>
        <v/>
      </c>
      <c r="L47">
        <f>IF(OR(A47="",K47=""),"",K47-A47)</f>
        <v/>
      </c>
      <c r="M47">
        <f>IF(B47="","",IF(K47&lt;&gt;"","Shipped",IF(F47&lt;&gt;"","Ordered, awaiting tracking","NOT ORDERED")))</f>
        <v/>
      </c>
    </row>
    <row r="48">
      <c r="C48">
        <f>IF(B48="","",RIGHT(B48,7))</f>
        <v/>
      </c>
      <c r="L48">
        <f>IF(OR(A48="",K48=""),"",K48-A48)</f>
        <v/>
      </c>
      <c r="M48">
        <f>IF(B48="","",IF(K48&lt;&gt;"","Shipped",IF(F48&lt;&gt;"","Ordered, awaiting tracking","NOT ORDERED")))</f>
        <v/>
      </c>
    </row>
    <row r="49">
      <c r="C49">
        <f>IF(B49="","",RIGHT(B49,7))</f>
        <v/>
      </c>
      <c r="L49">
        <f>IF(OR(A49="",K49=""),"",K49-A49)</f>
        <v/>
      </c>
      <c r="M49">
        <f>IF(B49="","",IF(K49&lt;&gt;"","Shipped",IF(F49&lt;&gt;"","Ordered, awaiting tracking","NOT ORDERED")))</f>
        <v/>
      </c>
    </row>
    <row r="50">
      <c r="C50">
        <f>IF(B50="","",RIGHT(B50,7))</f>
        <v/>
      </c>
      <c r="L50">
        <f>IF(OR(A50="",K50=""),"",K50-A50)</f>
        <v/>
      </c>
      <c r="M50">
        <f>IF(B50="","",IF(K50&lt;&gt;"","Shipped",IF(F50&lt;&gt;"","Ordered, awaiting tracking","NOT ORDERED")))</f>
        <v/>
      </c>
    </row>
    <row r="51">
      <c r="C51">
        <f>IF(B51="","",RIGHT(B51,7))</f>
        <v/>
      </c>
      <c r="L51">
        <f>IF(OR(A51="",K51=""),"",K51-A51)</f>
        <v/>
      </c>
      <c r="M51">
        <f>IF(B51="","",IF(K51&lt;&gt;"","Shipped",IF(F51&lt;&gt;"","Ordered, awaiting tracking","NOT ORDERED")))</f>
        <v/>
      </c>
    </row>
    <row r="52">
      <c r="C52">
        <f>IF(B52="","",RIGHT(B52,7))</f>
        <v/>
      </c>
      <c r="L52">
        <f>IF(OR(A52="",K52=""),"",K52-A52)</f>
        <v/>
      </c>
      <c r="M52">
        <f>IF(B52="","",IF(K52&lt;&gt;"","Shipped",IF(F52&lt;&gt;"","Ordered, awaiting tracking","NOT ORDERED")))</f>
        <v/>
      </c>
    </row>
    <row r="53">
      <c r="C53">
        <f>IF(B53="","",RIGHT(B53,7))</f>
        <v/>
      </c>
      <c r="L53">
        <f>IF(OR(A53="",K53=""),"",K53-A53)</f>
        <v/>
      </c>
      <c r="M53">
        <f>IF(B53="","",IF(K53&lt;&gt;"","Shipped",IF(F53&lt;&gt;"","Ordered, awaiting tracking","NOT ORDERED")))</f>
        <v/>
      </c>
    </row>
    <row r="54">
      <c r="C54">
        <f>IF(B54="","",RIGHT(B54,7))</f>
        <v/>
      </c>
      <c r="L54">
        <f>IF(OR(A54="",K54=""),"",K54-A54)</f>
        <v/>
      </c>
      <c r="M54">
        <f>IF(B54="","",IF(K54&lt;&gt;"","Shipped",IF(F54&lt;&gt;"","Ordered, awaiting tracking","NOT ORDERED")))</f>
        <v/>
      </c>
    </row>
    <row r="55">
      <c r="C55">
        <f>IF(B55="","",RIGHT(B55,7))</f>
        <v/>
      </c>
      <c r="L55">
        <f>IF(OR(A55="",K55=""),"",K55-A55)</f>
        <v/>
      </c>
      <c r="M55">
        <f>IF(B55="","",IF(K55&lt;&gt;"","Shipped",IF(F55&lt;&gt;"","Ordered, awaiting tracking","NOT ORDERED")))</f>
        <v/>
      </c>
    </row>
    <row r="56">
      <c r="C56">
        <f>IF(B56="","",RIGHT(B56,7))</f>
        <v/>
      </c>
      <c r="L56">
        <f>IF(OR(A56="",K56=""),"",K56-A56)</f>
        <v/>
      </c>
      <c r="M56">
        <f>IF(B56="","",IF(K56&lt;&gt;"","Shipped",IF(F56&lt;&gt;"","Ordered, awaiting tracking","NOT ORDERED")))</f>
        <v/>
      </c>
    </row>
    <row r="57">
      <c r="C57">
        <f>IF(B57="","",RIGHT(B57,7))</f>
        <v/>
      </c>
      <c r="L57">
        <f>IF(OR(A57="",K57=""),"",K57-A57)</f>
        <v/>
      </c>
      <c r="M57">
        <f>IF(B57="","",IF(K57&lt;&gt;"","Shipped",IF(F57&lt;&gt;"","Ordered, awaiting tracking","NOT ORDERED")))</f>
        <v/>
      </c>
    </row>
    <row r="58">
      <c r="C58">
        <f>IF(B58="","",RIGHT(B58,7))</f>
        <v/>
      </c>
      <c r="L58">
        <f>IF(OR(A58="",K58=""),"",K58-A58)</f>
        <v/>
      </c>
      <c r="M58">
        <f>IF(B58="","",IF(K58&lt;&gt;"","Shipped",IF(F58&lt;&gt;"","Ordered, awaiting tracking","NOT ORDERED")))</f>
        <v/>
      </c>
    </row>
    <row r="59">
      <c r="C59">
        <f>IF(B59="","",RIGHT(B59,7))</f>
        <v/>
      </c>
      <c r="L59">
        <f>IF(OR(A59="",K59=""),"",K59-A59)</f>
        <v/>
      </c>
      <c r="M59">
        <f>IF(B59="","",IF(K59&lt;&gt;"","Shipped",IF(F59&lt;&gt;"","Ordered, awaiting tracking","NOT ORDERED")))</f>
        <v/>
      </c>
    </row>
    <row r="60">
      <c r="C60">
        <f>IF(B60="","",RIGHT(B60,7))</f>
        <v/>
      </c>
      <c r="L60">
        <f>IF(OR(A60="",K60=""),"",K60-A60)</f>
        <v/>
      </c>
      <c r="M60">
        <f>IF(B60="","",IF(K60&lt;&gt;"","Shipped",IF(F60&lt;&gt;"","Ordered, awaiting tracking","NOT ORDERED")))</f>
        <v/>
      </c>
    </row>
    <row r="61">
      <c r="C61">
        <f>IF(B61="","",RIGHT(B61,7))</f>
        <v/>
      </c>
      <c r="L61">
        <f>IF(OR(A61="",K61=""),"",K61-A61)</f>
        <v/>
      </c>
      <c r="M61">
        <f>IF(B61="","",IF(K61&lt;&gt;"","Shipped",IF(F61&lt;&gt;"","Ordered, awaiting tracking","NOT ORDERED")))</f>
        <v/>
      </c>
    </row>
    <row r="62">
      <c r="C62">
        <f>IF(B62="","",RIGHT(B62,7))</f>
        <v/>
      </c>
      <c r="L62">
        <f>IF(OR(A62="",K62=""),"",K62-A62)</f>
        <v/>
      </c>
      <c r="M62">
        <f>IF(B62="","",IF(K62&lt;&gt;"","Shipped",IF(F62&lt;&gt;"","Ordered, awaiting tracking","NOT ORDERED")))</f>
        <v/>
      </c>
    </row>
    <row r="63">
      <c r="C63">
        <f>IF(B63="","",RIGHT(B63,7))</f>
        <v/>
      </c>
      <c r="L63">
        <f>IF(OR(A63="",K63=""),"",K63-A63)</f>
        <v/>
      </c>
      <c r="M63">
        <f>IF(B63="","",IF(K63&lt;&gt;"","Shipped",IF(F63&lt;&gt;"","Ordered, awaiting tracking","NOT ORDERED")))</f>
        <v/>
      </c>
    </row>
    <row r="64">
      <c r="C64">
        <f>IF(B64="","",RIGHT(B64,7))</f>
        <v/>
      </c>
      <c r="L64">
        <f>IF(OR(A64="",K64=""),"",K64-A64)</f>
        <v/>
      </c>
      <c r="M64">
        <f>IF(B64="","",IF(K64&lt;&gt;"","Shipped",IF(F64&lt;&gt;"","Ordered, awaiting tracking","NOT ORDERED")))</f>
        <v/>
      </c>
    </row>
    <row r="65">
      <c r="C65">
        <f>IF(B65="","",RIGHT(B65,7))</f>
        <v/>
      </c>
      <c r="L65">
        <f>IF(OR(A65="",K65=""),"",K65-A65)</f>
        <v/>
      </c>
      <c r="M65">
        <f>IF(B65="","",IF(K65&lt;&gt;"","Shipped",IF(F65&lt;&gt;"","Ordered, awaiting tracking","NOT ORDERED")))</f>
        <v/>
      </c>
    </row>
    <row r="66">
      <c r="C66">
        <f>IF(B66="","",RIGHT(B66,7))</f>
        <v/>
      </c>
      <c r="L66">
        <f>IF(OR(A66="",K66=""),"",K66-A66)</f>
        <v/>
      </c>
      <c r="M66">
        <f>IF(B66="","",IF(K66&lt;&gt;"","Shipped",IF(F66&lt;&gt;"","Ordered, awaiting tracking","NOT ORDERED")))</f>
        <v/>
      </c>
    </row>
    <row r="67">
      <c r="C67">
        <f>IF(B67="","",RIGHT(B67,7))</f>
        <v/>
      </c>
      <c r="L67">
        <f>IF(OR(A67="",K67=""),"",K67-A67)</f>
        <v/>
      </c>
      <c r="M67">
        <f>IF(B67="","",IF(K67&lt;&gt;"","Shipped",IF(F67&lt;&gt;"","Ordered, awaiting tracking","NOT ORDERED")))</f>
        <v/>
      </c>
    </row>
    <row r="68">
      <c r="C68">
        <f>IF(B68="","",RIGHT(B68,7))</f>
        <v/>
      </c>
      <c r="L68">
        <f>IF(OR(A68="",K68=""),"",K68-A68)</f>
        <v/>
      </c>
      <c r="M68">
        <f>IF(B68="","",IF(K68&lt;&gt;"","Shipped",IF(F68&lt;&gt;"","Ordered, awaiting tracking","NOT ORDERED")))</f>
        <v/>
      </c>
    </row>
    <row r="69">
      <c r="C69">
        <f>IF(B69="","",RIGHT(B69,7))</f>
        <v/>
      </c>
      <c r="L69">
        <f>IF(OR(A69="",K69=""),"",K69-A69)</f>
        <v/>
      </c>
      <c r="M69">
        <f>IF(B69="","",IF(K69&lt;&gt;"","Shipped",IF(F69&lt;&gt;"","Ordered, awaiting tracking","NOT ORDERED")))</f>
        <v/>
      </c>
    </row>
    <row r="70">
      <c r="C70">
        <f>IF(B70="","",RIGHT(B70,7))</f>
        <v/>
      </c>
      <c r="L70">
        <f>IF(OR(A70="",K70=""),"",K70-A70)</f>
        <v/>
      </c>
      <c r="M70">
        <f>IF(B70="","",IF(K70&lt;&gt;"","Shipped",IF(F70&lt;&gt;"","Ordered, awaiting tracking","NOT ORDERED")))</f>
        <v/>
      </c>
    </row>
    <row r="71">
      <c r="C71">
        <f>IF(B71="","",RIGHT(B71,7))</f>
        <v/>
      </c>
      <c r="L71">
        <f>IF(OR(A71="",K71=""),"",K71-A71)</f>
        <v/>
      </c>
      <c r="M71">
        <f>IF(B71="","",IF(K71&lt;&gt;"","Shipped",IF(F71&lt;&gt;"","Ordered, awaiting tracking","NOT ORDERED")))</f>
        <v/>
      </c>
    </row>
    <row r="72">
      <c r="C72">
        <f>IF(B72="","",RIGHT(B72,7))</f>
        <v/>
      </c>
      <c r="L72">
        <f>IF(OR(A72="",K72=""),"",K72-A72)</f>
        <v/>
      </c>
      <c r="M72">
        <f>IF(B72="","",IF(K72&lt;&gt;"","Shipped",IF(F72&lt;&gt;"","Ordered, awaiting tracking","NOT ORDERED")))</f>
        <v/>
      </c>
    </row>
    <row r="73">
      <c r="C73">
        <f>IF(B73="","",RIGHT(B73,7))</f>
        <v/>
      </c>
      <c r="L73">
        <f>IF(OR(A73="",K73=""),"",K73-A73)</f>
        <v/>
      </c>
      <c r="M73">
        <f>IF(B73="","",IF(K73&lt;&gt;"","Shipped",IF(F73&lt;&gt;"","Ordered, awaiting tracking","NOT ORDERED")))</f>
        <v/>
      </c>
    </row>
    <row r="74">
      <c r="C74">
        <f>IF(B74="","",RIGHT(B74,7))</f>
        <v/>
      </c>
      <c r="L74">
        <f>IF(OR(A74="",K74=""),"",K74-A74)</f>
        <v/>
      </c>
      <c r="M74">
        <f>IF(B74="","",IF(K74&lt;&gt;"","Shipped",IF(F74&lt;&gt;"","Ordered, awaiting tracking","NOT ORDERED")))</f>
        <v/>
      </c>
    </row>
    <row r="75">
      <c r="C75">
        <f>IF(B75="","",RIGHT(B75,7))</f>
        <v/>
      </c>
      <c r="L75">
        <f>IF(OR(A75="",K75=""),"",K75-A75)</f>
        <v/>
      </c>
      <c r="M75">
        <f>IF(B75="","",IF(K75&lt;&gt;"","Shipped",IF(F75&lt;&gt;"","Ordered, awaiting tracking","NOT ORDERED")))</f>
        <v/>
      </c>
    </row>
    <row r="76">
      <c r="C76">
        <f>IF(B76="","",RIGHT(B76,7))</f>
        <v/>
      </c>
      <c r="L76">
        <f>IF(OR(A76="",K76=""),"",K76-A76)</f>
        <v/>
      </c>
      <c r="M76">
        <f>IF(B76="","",IF(K76&lt;&gt;"","Shipped",IF(F76&lt;&gt;"","Ordered, awaiting tracking","NOT ORDERED")))</f>
        <v/>
      </c>
    </row>
    <row r="77">
      <c r="C77">
        <f>IF(B77="","",RIGHT(B77,7))</f>
        <v/>
      </c>
      <c r="L77">
        <f>IF(OR(A77="",K77=""),"",K77-A77)</f>
        <v/>
      </c>
      <c r="M77">
        <f>IF(B77="","",IF(K77&lt;&gt;"","Shipped",IF(F77&lt;&gt;"","Ordered, awaiting tracking","NOT ORDERED")))</f>
        <v/>
      </c>
    </row>
    <row r="78">
      <c r="C78">
        <f>IF(B78="","",RIGHT(B78,7))</f>
        <v/>
      </c>
      <c r="L78">
        <f>IF(OR(A78="",K78=""),"",K78-A78)</f>
        <v/>
      </c>
      <c r="M78">
        <f>IF(B78="","",IF(K78&lt;&gt;"","Shipped",IF(F78&lt;&gt;"","Ordered, awaiting tracking","NOT ORDERED")))</f>
        <v/>
      </c>
    </row>
    <row r="79">
      <c r="C79">
        <f>IF(B79="","",RIGHT(B79,7))</f>
        <v/>
      </c>
      <c r="L79">
        <f>IF(OR(A79="",K79=""),"",K79-A79)</f>
        <v/>
      </c>
      <c r="M79">
        <f>IF(B79="","",IF(K79&lt;&gt;"","Shipped",IF(F79&lt;&gt;"","Ordered, awaiting tracking","NOT ORDERED")))</f>
        <v/>
      </c>
    </row>
    <row r="80">
      <c r="C80">
        <f>IF(B80="","",RIGHT(B80,7))</f>
        <v/>
      </c>
      <c r="L80">
        <f>IF(OR(A80="",K80=""),"",K80-A80)</f>
        <v/>
      </c>
      <c r="M80">
        <f>IF(B80="","",IF(K80&lt;&gt;"","Shipped",IF(F80&lt;&gt;"","Ordered, awaiting tracking","NOT ORDERED")))</f>
        <v/>
      </c>
    </row>
    <row r="81">
      <c r="C81">
        <f>IF(B81="","",RIGHT(B81,7))</f>
        <v/>
      </c>
      <c r="L81">
        <f>IF(OR(A81="",K81=""),"",K81-A81)</f>
        <v/>
      </c>
      <c r="M81">
        <f>IF(B81="","",IF(K81&lt;&gt;"","Shipped",IF(F81&lt;&gt;"","Ordered, awaiting tracking","NOT ORDERED")))</f>
        <v/>
      </c>
    </row>
    <row r="82">
      <c r="C82">
        <f>IF(B82="","",RIGHT(B82,7))</f>
        <v/>
      </c>
      <c r="L82">
        <f>IF(OR(A82="",K82=""),"",K82-A82)</f>
        <v/>
      </c>
      <c r="M82">
        <f>IF(B82="","",IF(K82&lt;&gt;"","Shipped",IF(F82&lt;&gt;"","Ordered, awaiting tracking","NOT ORDERED")))</f>
        <v/>
      </c>
    </row>
    <row r="83">
      <c r="C83">
        <f>IF(B83="","",RIGHT(B83,7))</f>
        <v/>
      </c>
      <c r="L83">
        <f>IF(OR(A83="",K83=""),"",K83-A83)</f>
        <v/>
      </c>
      <c r="M83">
        <f>IF(B83="","",IF(K83&lt;&gt;"","Shipped",IF(F83&lt;&gt;"","Ordered, awaiting tracking","NOT ORDERED")))</f>
        <v/>
      </c>
    </row>
    <row r="84">
      <c r="C84">
        <f>IF(B84="","",RIGHT(B84,7))</f>
        <v/>
      </c>
      <c r="L84">
        <f>IF(OR(A84="",K84=""),"",K84-A84)</f>
        <v/>
      </c>
      <c r="M84">
        <f>IF(B84="","",IF(K84&lt;&gt;"","Shipped",IF(F84&lt;&gt;"","Ordered, awaiting tracking","NOT ORDERED")))</f>
        <v/>
      </c>
    </row>
    <row r="85">
      <c r="C85">
        <f>IF(B85="","",RIGHT(B85,7))</f>
        <v/>
      </c>
      <c r="L85">
        <f>IF(OR(A85="",K85=""),"",K85-A85)</f>
        <v/>
      </c>
      <c r="M85">
        <f>IF(B85="","",IF(K85&lt;&gt;"","Shipped",IF(F85&lt;&gt;"","Ordered, awaiting tracking","NOT ORDERED")))</f>
        <v/>
      </c>
    </row>
    <row r="86">
      <c r="C86">
        <f>IF(B86="","",RIGHT(B86,7))</f>
        <v/>
      </c>
      <c r="L86">
        <f>IF(OR(A86="",K86=""),"",K86-A86)</f>
        <v/>
      </c>
      <c r="M86">
        <f>IF(B86="","",IF(K86&lt;&gt;"","Shipped",IF(F86&lt;&gt;"","Ordered, awaiting tracking","NOT ORDERED")))</f>
        <v/>
      </c>
    </row>
    <row r="87">
      <c r="C87">
        <f>IF(B87="","",RIGHT(B87,7))</f>
        <v/>
      </c>
      <c r="L87">
        <f>IF(OR(A87="",K87=""),"",K87-A87)</f>
        <v/>
      </c>
      <c r="M87">
        <f>IF(B87="","",IF(K87&lt;&gt;"","Shipped",IF(F87&lt;&gt;"","Ordered, awaiting tracking","NOT ORDERED")))</f>
        <v/>
      </c>
    </row>
    <row r="88">
      <c r="C88">
        <f>IF(B88="","",RIGHT(B88,7))</f>
        <v/>
      </c>
      <c r="L88">
        <f>IF(OR(A88="",K88=""),"",K88-A88)</f>
        <v/>
      </c>
      <c r="M88">
        <f>IF(B88="","",IF(K88&lt;&gt;"","Shipped",IF(F88&lt;&gt;"","Ordered, awaiting tracking","NOT ORDERED")))</f>
        <v/>
      </c>
    </row>
    <row r="89">
      <c r="C89">
        <f>IF(B89="","",RIGHT(B89,7))</f>
        <v/>
      </c>
      <c r="L89">
        <f>IF(OR(A89="",K89=""),"",K89-A89)</f>
        <v/>
      </c>
      <c r="M89">
        <f>IF(B89="","",IF(K89&lt;&gt;"","Shipped",IF(F89&lt;&gt;"","Ordered, awaiting tracking","NOT ORDERED")))</f>
        <v/>
      </c>
    </row>
    <row r="90">
      <c r="C90">
        <f>IF(B90="","",RIGHT(B90,7))</f>
        <v/>
      </c>
      <c r="L90">
        <f>IF(OR(A90="",K90=""),"",K90-A90)</f>
        <v/>
      </c>
      <c r="M90">
        <f>IF(B90="","",IF(K90&lt;&gt;"","Shipped",IF(F90&lt;&gt;"","Ordered, awaiting tracking","NOT ORDERED")))</f>
        <v/>
      </c>
    </row>
    <row r="91">
      <c r="C91">
        <f>IF(B91="","",RIGHT(B91,7))</f>
        <v/>
      </c>
      <c r="L91">
        <f>IF(OR(A91="",K91=""),"",K91-A91)</f>
        <v/>
      </c>
      <c r="M91">
        <f>IF(B91="","",IF(K91&lt;&gt;"","Shipped",IF(F91&lt;&gt;"","Ordered, awaiting tracking","NOT ORDERED")))</f>
        <v/>
      </c>
    </row>
    <row r="92">
      <c r="C92">
        <f>IF(B92="","",RIGHT(B92,7))</f>
        <v/>
      </c>
      <c r="L92">
        <f>IF(OR(A92="",K92=""),"",K92-A92)</f>
        <v/>
      </c>
      <c r="M92">
        <f>IF(B92="","",IF(K92&lt;&gt;"","Shipped",IF(F92&lt;&gt;"","Ordered, awaiting tracking","NOT ORDERED")))</f>
        <v/>
      </c>
    </row>
    <row r="93">
      <c r="C93">
        <f>IF(B93="","",RIGHT(B93,7))</f>
        <v/>
      </c>
      <c r="L93">
        <f>IF(OR(A93="",K93=""),"",K93-A93)</f>
        <v/>
      </c>
      <c r="M93">
        <f>IF(B93="","",IF(K93&lt;&gt;"","Shipped",IF(F93&lt;&gt;"","Ordered, awaiting tracking","NOT ORDERED")))</f>
        <v/>
      </c>
    </row>
    <row r="94">
      <c r="C94">
        <f>IF(B94="","",RIGHT(B94,7))</f>
        <v/>
      </c>
      <c r="L94">
        <f>IF(OR(A94="",K94=""),"",K94-A94)</f>
        <v/>
      </c>
      <c r="M94">
        <f>IF(B94="","",IF(K94&lt;&gt;"","Shipped",IF(F94&lt;&gt;"","Ordered, awaiting tracking","NOT ORDERED")))</f>
        <v/>
      </c>
    </row>
    <row r="95">
      <c r="C95">
        <f>IF(B95="","",RIGHT(B95,7))</f>
        <v/>
      </c>
      <c r="L95">
        <f>IF(OR(A95="",K95=""),"",K95-A95)</f>
        <v/>
      </c>
      <c r="M95">
        <f>IF(B95="","",IF(K95&lt;&gt;"","Shipped",IF(F95&lt;&gt;"","Ordered, awaiting tracking","NOT ORDERED")))</f>
        <v/>
      </c>
    </row>
    <row r="96">
      <c r="C96">
        <f>IF(B96="","",RIGHT(B96,7))</f>
        <v/>
      </c>
      <c r="L96">
        <f>IF(OR(A96="",K96=""),"",K96-A96)</f>
        <v/>
      </c>
      <c r="M96">
        <f>IF(B96="","",IF(K96&lt;&gt;"","Shipped",IF(F96&lt;&gt;"","Ordered, awaiting tracking","NOT ORDERED")))</f>
        <v/>
      </c>
    </row>
    <row r="97">
      <c r="C97">
        <f>IF(B97="","",RIGHT(B97,7))</f>
        <v/>
      </c>
      <c r="L97">
        <f>IF(OR(A97="",K97=""),"",K97-A97)</f>
        <v/>
      </c>
      <c r="M97">
        <f>IF(B97="","",IF(K97&lt;&gt;"","Shipped",IF(F97&lt;&gt;"","Ordered, awaiting tracking","NOT ORDERED")))</f>
        <v/>
      </c>
    </row>
    <row r="98">
      <c r="C98">
        <f>IF(B98="","",RIGHT(B98,7))</f>
        <v/>
      </c>
      <c r="L98">
        <f>IF(OR(A98="",K98=""),"",K98-A98)</f>
        <v/>
      </c>
      <c r="M98">
        <f>IF(B98="","",IF(K98&lt;&gt;"","Shipped",IF(F98&lt;&gt;"","Ordered, awaiting tracking","NOT ORDERED")))</f>
        <v/>
      </c>
    </row>
    <row r="99">
      <c r="C99">
        <f>IF(B99="","",RIGHT(B99,7))</f>
        <v/>
      </c>
      <c r="L99">
        <f>IF(OR(A99="",K99=""),"",K99-A99)</f>
        <v/>
      </c>
      <c r="M99">
        <f>IF(B99="","",IF(K99&lt;&gt;"","Shipped",IF(F99&lt;&gt;"","Ordered, awaiting tracking","NOT ORDERED")))</f>
        <v/>
      </c>
    </row>
    <row r="100">
      <c r="C100">
        <f>IF(B100="","",RIGHT(B100,7))</f>
        <v/>
      </c>
      <c r="L100">
        <f>IF(OR(A100="",K100=""),"",K100-A100)</f>
        <v/>
      </c>
      <c r="M100">
        <f>IF(B100="","",IF(K100&lt;&gt;"","Shipped",IF(F100&lt;&gt;"","Ordered, awaiting tracking","NOT ORDERED")))</f>
        <v/>
      </c>
    </row>
    <row r="101">
      <c r="C101">
        <f>IF(B101="","",RIGHT(B101,7))</f>
        <v/>
      </c>
      <c r="L101">
        <f>IF(OR(A101="",K101=""),"",K101-A101)</f>
        <v/>
      </c>
      <c r="M101">
        <f>IF(B101="","",IF(K101&lt;&gt;"","Shipped",IF(F101&lt;&gt;"","Ordered, awaiting tracking","NOT ORDERED")))</f>
        <v/>
      </c>
    </row>
    <row r="102">
      <c r="C102">
        <f>IF(B102="","",RIGHT(B102,7))</f>
        <v/>
      </c>
      <c r="L102">
        <f>IF(OR(A102="",K102=""),"",K102-A102)</f>
        <v/>
      </c>
      <c r="M102">
        <f>IF(B102="","",IF(K102&lt;&gt;"","Shipped",IF(F102&lt;&gt;"","Ordered, awaiting tracking","NOT ORDERED")))</f>
        <v/>
      </c>
    </row>
    <row r="103">
      <c r="C103">
        <f>IF(B103="","",RIGHT(B103,7))</f>
        <v/>
      </c>
      <c r="L103">
        <f>IF(OR(A103="",K103=""),"",K103-A103)</f>
        <v/>
      </c>
      <c r="M103">
        <f>IF(B103="","",IF(K103&lt;&gt;"","Shipped",IF(F103&lt;&gt;"","Ordered, awaiting tracking","NOT ORDERED")))</f>
        <v/>
      </c>
    </row>
    <row r="104">
      <c r="C104">
        <f>IF(B104="","",RIGHT(B104,7))</f>
        <v/>
      </c>
      <c r="L104">
        <f>IF(OR(A104="",K104=""),"",K104-A104)</f>
        <v/>
      </c>
      <c r="M104">
        <f>IF(B104="","",IF(K104&lt;&gt;"","Shipped",IF(F104&lt;&gt;"","Ordered, awaiting tracking","NOT ORDERED")))</f>
        <v/>
      </c>
    </row>
    <row r="105">
      <c r="C105">
        <f>IF(B105="","",RIGHT(B105,7))</f>
        <v/>
      </c>
      <c r="L105">
        <f>IF(OR(A105="",K105=""),"",K105-A105)</f>
        <v/>
      </c>
      <c r="M105">
        <f>IF(B105="","",IF(K105&lt;&gt;"","Shipped",IF(F105&lt;&gt;"","Ordered, awaiting tracking","NOT ORDERED")))</f>
        <v/>
      </c>
    </row>
    <row r="106">
      <c r="C106">
        <f>IF(B106="","",RIGHT(B106,7))</f>
        <v/>
      </c>
      <c r="L106">
        <f>IF(OR(A106="",K106=""),"",K106-A106)</f>
        <v/>
      </c>
      <c r="M106">
        <f>IF(B106="","",IF(K106&lt;&gt;"","Shipped",IF(F106&lt;&gt;"","Ordered, awaiting tracking","NOT ORDERED")))</f>
        <v/>
      </c>
    </row>
    <row r="107">
      <c r="C107">
        <f>IF(B107="","",RIGHT(B107,7))</f>
        <v/>
      </c>
      <c r="L107">
        <f>IF(OR(A107="",K107=""),"",K107-A107)</f>
        <v/>
      </c>
      <c r="M107">
        <f>IF(B107="","",IF(K107&lt;&gt;"","Shipped",IF(F107&lt;&gt;"","Ordered, awaiting tracking","NOT ORDERED")))</f>
        <v/>
      </c>
    </row>
    <row r="108">
      <c r="C108">
        <f>IF(B108="","",RIGHT(B108,7))</f>
        <v/>
      </c>
      <c r="L108">
        <f>IF(OR(A108="",K108=""),"",K108-A108)</f>
        <v/>
      </c>
      <c r="M108">
        <f>IF(B108="","",IF(K108&lt;&gt;"","Shipped",IF(F108&lt;&gt;"","Ordered, awaiting tracking","NOT ORDERED")))</f>
        <v/>
      </c>
    </row>
    <row r="109">
      <c r="C109">
        <f>IF(B109="","",RIGHT(B109,7))</f>
        <v/>
      </c>
      <c r="L109">
        <f>IF(OR(A109="",K109=""),"",K109-A109)</f>
        <v/>
      </c>
      <c r="M109">
        <f>IF(B109="","",IF(K109&lt;&gt;"","Shipped",IF(F109&lt;&gt;"","Ordered, awaiting tracking","NOT ORDERED")))</f>
        <v/>
      </c>
    </row>
    <row r="110">
      <c r="C110">
        <f>IF(B110="","",RIGHT(B110,7))</f>
        <v/>
      </c>
      <c r="L110">
        <f>IF(OR(A110="",K110=""),"",K110-A110)</f>
        <v/>
      </c>
      <c r="M110">
        <f>IF(B110="","",IF(K110&lt;&gt;"","Shipped",IF(F110&lt;&gt;"","Ordered, awaiting tracking","NOT ORDERED")))</f>
        <v/>
      </c>
    </row>
    <row r="111">
      <c r="C111">
        <f>IF(B111="","",RIGHT(B111,7))</f>
        <v/>
      </c>
      <c r="L111">
        <f>IF(OR(A111="",K111=""),"",K111-A111)</f>
        <v/>
      </c>
      <c r="M111">
        <f>IF(B111="","",IF(K111&lt;&gt;"","Shipped",IF(F111&lt;&gt;"","Ordered, awaiting tracking","NOT ORDERED")))</f>
        <v/>
      </c>
    </row>
    <row r="112">
      <c r="C112">
        <f>IF(B112="","",RIGHT(B112,7))</f>
        <v/>
      </c>
      <c r="L112">
        <f>IF(OR(A112="",K112=""),"",K112-A112)</f>
        <v/>
      </c>
      <c r="M112">
        <f>IF(B112="","",IF(K112&lt;&gt;"","Shipped",IF(F112&lt;&gt;"","Ordered, awaiting tracking","NOT ORDERED")))</f>
        <v/>
      </c>
    </row>
    <row r="113">
      <c r="C113">
        <f>IF(B113="","",RIGHT(B113,7))</f>
        <v/>
      </c>
      <c r="L113">
        <f>IF(OR(A113="",K113=""),"",K113-A113)</f>
        <v/>
      </c>
      <c r="M113">
        <f>IF(B113="","",IF(K113&lt;&gt;"","Shipped",IF(F113&lt;&gt;"","Ordered, awaiting tracking","NOT ORDERED")))</f>
        <v/>
      </c>
    </row>
    <row r="114">
      <c r="C114">
        <f>IF(B114="","",RIGHT(B114,7))</f>
        <v/>
      </c>
      <c r="L114">
        <f>IF(OR(A114="",K114=""),"",K114-A114)</f>
        <v/>
      </c>
      <c r="M114">
        <f>IF(B114="","",IF(K114&lt;&gt;"","Shipped",IF(F114&lt;&gt;"","Ordered, awaiting tracking","NOT ORDERED")))</f>
        <v/>
      </c>
    </row>
    <row r="115">
      <c r="C115">
        <f>IF(B115="","",RIGHT(B115,7))</f>
        <v/>
      </c>
      <c r="L115">
        <f>IF(OR(A115="",K115=""),"",K115-A115)</f>
        <v/>
      </c>
      <c r="M115">
        <f>IF(B115="","",IF(K115&lt;&gt;"","Shipped",IF(F115&lt;&gt;"","Ordered, awaiting tracking","NOT ORDERED")))</f>
        <v/>
      </c>
    </row>
    <row r="116">
      <c r="C116">
        <f>IF(B116="","",RIGHT(B116,7))</f>
        <v/>
      </c>
      <c r="L116">
        <f>IF(OR(A116="",K116=""),"",K116-A116)</f>
        <v/>
      </c>
      <c r="M116">
        <f>IF(B116="","",IF(K116&lt;&gt;"","Shipped",IF(F116&lt;&gt;"","Ordered, awaiting tracking","NOT ORDERED")))</f>
        <v/>
      </c>
    </row>
    <row r="117">
      <c r="C117">
        <f>IF(B117="","",RIGHT(B117,7))</f>
        <v/>
      </c>
      <c r="L117">
        <f>IF(OR(A117="",K117=""),"",K117-A117)</f>
        <v/>
      </c>
      <c r="M117">
        <f>IF(B117="","",IF(K117&lt;&gt;"","Shipped",IF(F117&lt;&gt;"","Ordered, awaiting tracking","NOT ORDERED")))</f>
        <v/>
      </c>
    </row>
    <row r="118">
      <c r="C118">
        <f>IF(B118="","",RIGHT(B118,7))</f>
        <v/>
      </c>
      <c r="L118">
        <f>IF(OR(A118="",K118=""),"",K118-A118)</f>
        <v/>
      </c>
      <c r="M118">
        <f>IF(B118="","",IF(K118&lt;&gt;"","Shipped",IF(F118&lt;&gt;"","Ordered, awaiting tracking","NOT ORDERED")))</f>
        <v/>
      </c>
    </row>
    <row r="119">
      <c r="C119">
        <f>IF(B119="","",RIGHT(B119,7))</f>
        <v/>
      </c>
      <c r="L119">
        <f>IF(OR(A119="",K119=""),"",K119-A119)</f>
        <v/>
      </c>
      <c r="M119">
        <f>IF(B119="","",IF(K119&lt;&gt;"","Shipped",IF(F119&lt;&gt;"","Ordered, awaiting tracking","NOT ORDERED")))</f>
        <v/>
      </c>
    </row>
    <row r="120">
      <c r="C120">
        <f>IF(B120="","",RIGHT(B120,7))</f>
        <v/>
      </c>
      <c r="L120">
        <f>IF(OR(A120="",K120=""),"",K120-A120)</f>
        <v/>
      </c>
      <c r="M120">
        <f>IF(B120="","",IF(K120&lt;&gt;"","Shipped",IF(F120&lt;&gt;"","Ordered, awaiting tracking","NOT ORDERED")))</f>
        <v/>
      </c>
    </row>
    <row r="121">
      <c r="C121">
        <f>IF(B121="","",RIGHT(B121,7))</f>
        <v/>
      </c>
      <c r="L121">
        <f>IF(OR(A121="",K121=""),"",K121-A121)</f>
        <v/>
      </c>
      <c r="M121">
        <f>IF(B121="","",IF(K121&lt;&gt;"","Shipped",IF(F121&lt;&gt;"","Ordered, awaiting tracking","NOT ORDERED")))</f>
        <v/>
      </c>
    </row>
    <row r="122">
      <c r="C122">
        <f>IF(B122="","",RIGHT(B122,7))</f>
        <v/>
      </c>
      <c r="L122">
        <f>IF(OR(A122="",K122=""),"",K122-A122)</f>
        <v/>
      </c>
      <c r="M122">
        <f>IF(B122="","",IF(K122&lt;&gt;"","Shipped",IF(F122&lt;&gt;"","Ordered, awaiting tracking","NOT ORDERED")))</f>
        <v/>
      </c>
    </row>
    <row r="123">
      <c r="C123">
        <f>IF(B123="","",RIGHT(B123,7))</f>
        <v/>
      </c>
      <c r="L123">
        <f>IF(OR(A123="",K123=""),"",K123-A123)</f>
        <v/>
      </c>
      <c r="M123">
        <f>IF(B123="","",IF(K123&lt;&gt;"","Shipped",IF(F123&lt;&gt;"","Ordered, awaiting tracking","NOT ORDERED")))</f>
        <v/>
      </c>
    </row>
    <row r="124">
      <c r="C124">
        <f>IF(B124="","",RIGHT(B124,7))</f>
        <v/>
      </c>
      <c r="L124">
        <f>IF(OR(A124="",K124=""),"",K124-A124)</f>
        <v/>
      </c>
      <c r="M124">
        <f>IF(B124="","",IF(K124&lt;&gt;"","Shipped",IF(F124&lt;&gt;"","Ordered, awaiting tracking","NOT ORDERED")))</f>
        <v/>
      </c>
    </row>
    <row r="125">
      <c r="C125">
        <f>IF(B125="","",RIGHT(B125,7))</f>
        <v/>
      </c>
      <c r="L125">
        <f>IF(OR(A125="",K125=""),"",K125-A125)</f>
        <v/>
      </c>
      <c r="M125">
        <f>IF(B125="","",IF(K125&lt;&gt;"","Shipped",IF(F125&lt;&gt;"","Ordered, awaiting tracking","NOT ORDERED")))</f>
        <v/>
      </c>
    </row>
    <row r="126">
      <c r="C126">
        <f>IF(B126="","",RIGHT(B126,7))</f>
        <v/>
      </c>
      <c r="L126">
        <f>IF(OR(A126="",K126=""),"",K126-A126)</f>
        <v/>
      </c>
      <c r="M126">
        <f>IF(B126="","",IF(K126&lt;&gt;"","Shipped",IF(F126&lt;&gt;"","Ordered, awaiting tracking","NOT ORDERED")))</f>
        <v/>
      </c>
    </row>
    <row r="127">
      <c r="C127">
        <f>IF(B127="","",RIGHT(B127,7))</f>
        <v/>
      </c>
      <c r="L127">
        <f>IF(OR(A127="",K127=""),"",K127-A127)</f>
        <v/>
      </c>
      <c r="M127">
        <f>IF(B127="","",IF(K127&lt;&gt;"","Shipped",IF(F127&lt;&gt;"","Ordered, awaiting tracking","NOT ORDERED")))</f>
        <v/>
      </c>
    </row>
    <row r="128">
      <c r="C128">
        <f>IF(B128="","",RIGHT(B128,7))</f>
        <v/>
      </c>
      <c r="L128">
        <f>IF(OR(A128="",K128=""),"",K128-A128)</f>
        <v/>
      </c>
      <c r="M128">
        <f>IF(B128="","",IF(K128&lt;&gt;"","Shipped",IF(F128&lt;&gt;"","Ordered, awaiting tracking","NOT ORDERED")))</f>
        <v/>
      </c>
    </row>
    <row r="129">
      <c r="C129">
        <f>IF(B129="","",RIGHT(B129,7))</f>
        <v/>
      </c>
      <c r="L129">
        <f>IF(OR(A129="",K129=""),"",K129-A129)</f>
        <v/>
      </c>
      <c r="M129">
        <f>IF(B129="","",IF(K129&lt;&gt;"","Shipped",IF(F129&lt;&gt;"","Ordered, awaiting tracking","NOT ORDERED")))</f>
        <v/>
      </c>
    </row>
    <row r="130">
      <c r="C130">
        <f>IF(B130="","",RIGHT(B130,7))</f>
        <v/>
      </c>
      <c r="L130">
        <f>IF(OR(A130="",K130=""),"",K130-A130)</f>
        <v/>
      </c>
      <c r="M130">
        <f>IF(B130="","",IF(K130&lt;&gt;"","Shipped",IF(F130&lt;&gt;"","Ordered, awaiting tracking","NOT ORDERED")))</f>
        <v/>
      </c>
    </row>
    <row r="131">
      <c r="C131">
        <f>IF(B131="","",RIGHT(B131,7))</f>
        <v/>
      </c>
      <c r="L131">
        <f>IF(OR(A131="",K131=""),"",K131-A131)</f>
        <v/>
      </c>
      <c r="M131">
        <f>IF(B131="","",IF(K131&lt;&gt;"","Shipped",IF(F131&lt;&gt;"","Ordered, awaiting tracking","NOT ORDERED")))</f>
        <v/>
      </c>
    </row>
    <row r="132">
      <c r="C132">
        <f>IF(B132="","",RIGHT(B132,7))</f>
        <v/>
      </c>
      <c r="L132">
        <f>IF(OR(A132="",K132=""),"",K132-A132)</f>
        <v/>
      </c>
      <c r="M132">
        <f>IF(B132="","",IF(K132&lt;&gt;"","Shipped",IF(F132&lt;&gt;"","Ordered, awaiting tracking","NOT ORDERED")))</f>
        <v/>
      </c>
    </row>
    <row r="133">
      <c r="C133">
        <f>IF(B133="","",RIGHT(B133,7))</f>
        <v/>
      </c>
      <c r="L133">
        <f>IF(OR(A133="",K133=""),"",K133-A133)</f>
        <v/>
      </c>
      <c r="M133">
        <f>IF(B133="","",IF(K133&lt;&gt;"","Shipped",IF(F133&lt;&gt;"","Ordered, awaiting tracking","NOT ORDERED")))</f>
        <v/>
      </c>
    </row>
    <row r="134">
      <c r="C134">
        <f>IF(B134="","",RIGHT(B134,7))</f>
        <v/>
      </c>
      <c r="L134">
        <f>IF(OR(A134="",K134=""),"",K134-A134)</f>
        <v/>
      </c>
      <c r="M134">
        <f>IF(B134="","",IF(K134&lt;&gt;"","Shipped",IF(F134&lt;&gt;"","Ordered, awaiting tracking","NOT ORDERED")))</f>
        <v/>
      </c>
    </row>
    <row r="135">
      <c r="C135">
        <f>IF(B135="","",RIGHT(B135,7))</f>
        <v/>
      </c>
      <c r="L135">
        <f>IF(OR(A135="",K135=""),"",K135-A135)</f>
        <v/>
      </c>
      <c r="M135">
        <f>IF(B135="","",IF(K135&lt;&gt;"","Shipped",IF(F135&lt;&gt;"","Ordered, awaiting tracking","NOT ORDERED")))</f>
        <v/>
      </c>
    </row>
    <row r="136">
      <c r="C136">
        <f>IF(B136="","",RIGHT(B136,7))</f>
        <v/>
      </c>
      <c r="L136">
        <f>IF(OR(A136="",K136=""),"",K136-A136)</f>
        <v/>
      </c>
      <c r="M136">
        <f>IF(B136="","",IF(K136&lt;&gt;"","Shipped",IF(F136&lt;&gt;"","Ordered, awaiting tracking","NOT ORDERED")))</f>
        <v/>
      </c>
    </row>
    <row r="137">
      <c r="C137">
        <f>IF(B137="","",RIGHT(B137,7))</f>
        <v/>
      </c>
      <c r="L137">
        <f>IF(OR(A137="",K137=""),"",K137-A137)</f>
        <v/>
      </c>
      <c r="M137">
        <f>IF(B137="","",IF(K137&lt;&gt;"","Shipped",IF(F137&lt;&gt;"","Ordered, awaiting tracking","NOT ORDERED")))</f>
        <v/>
      </c>
    </row>
    <row r="138">
      <c r="C138">
        <f>IF(B138="","",RIGHT(B138,7))</f>
        <v/>
      </c>
      <c r="L138">
        <f>IF(OR(A138="",K138=""),"",K138-A138)</f>
        <v/>
      </c>
      <c r="M138">
        <f>IF(B138="","",IF(K138&lt;&gt;"","Shipped",IF(F138&lt;&gt;"","Ordered, awaiting tracking","NOT ORDERED")))</f>
        <v/>
      </c>
    </row>
    <row r="139">
      <c r="C139">
        <f>IF(B139="","",RIGHT(B139,7))</f>
        <v/>
      </c>
      <c r="L139">
        <f>IF(OR(A139="",K139=""),"",K139-A139)</f>
        <v/>
      </c>
      <c r="M139">
        <f>IF(B139="","",IF(K139&lt;&gt;"","Shipped",IF(F139&lt;&gt;"","Ordered, awaiting tracking","NOT ORDERED")))</f>
        <v/>
      </c>
    </row>
    <row r="140">
      <c r="C140">
        <f>IF(B140="","",RIGHT(B140,7))</f>
        <v/>
      </c>
      <c r="L140">
        <f>IF(OR(A140="",K140=""),"",K140-A140)</f>
        <v/>
      </c>
      <c r="M140">
        <f>IF(B140="","",IF(K140&lt;&gt;"","Shipped",IF(F140&lt;&gt;"","Ordered, awaiting tracking","NOT ORDERED")))</f>
        <v/>
      </c>
    </row>
    <row r="141">
      <c r="C141">
        <f>IF(B141="","",RIGHT(B141,7))</f>
        <v/>
      </c>
      <c r="L141">
        <f>IF(OR(A141="",K141=""),"",K141-A141)</f>
        <v/>
      </c>
      <c r="M141">
        <f>IF(B141="","",IF(K141&lt;&gt;"","Shipped",IF(F141&lt;&gt;"","Ordered, awaiting tracking","NOT ORDERED")))</f>
        <v/>
      </c>
    </row>
    <row r="142">
      <c r="C142">
        <f>IF(B142="","",RIGHT(B142,7))</f>
        <v/>
      </c>
      <c r="L142">
        <f>IF(OR(A142="",K142=""),"",K142-A142)</f>
        <v/>
      </c>
      <c r="M142">
        <f>IF(B142="","",IF(K142&lt;&gt;"","Shipped",IF(F142&lt;&gt;"","Ordered, awaiting tracking","NOT ORDERED")))</f>
        <v/>
      </c>
    </row>
    <row r="143">
      <c r="C143">
        <f>IF(B143="","",RIGHT(B143,7))</f>
        <v/>
      </c>
      <c r="L143">
        <f>IF(OR(A143="",K143=""),"",K143-A143)</f>
        <v/>
      </c>
      <c r="M143">
        <f>IF(B143="","",IF(K143&lt;&gt;"","Shipped",IF(F143&lt;&gt;"","Ordered, awaiting tracking","NOT ORDERED")))</f>
        <v/>
      </c>
    </row>
    <row r="144">
      <c r="C144">
        <f>IF(B144="","",RIGHT(B144,7))</f>
        <v/>
      </c>
      <c r="L144">
        <f>IF(OR(A144="",K144=""),"",K144-A144)</f>
        <v/>
      </c>
      <c r="M144">
        <f>IF(B144="","",IF(K144&lt;&gt;"","Shipped",IF(F144&lt;&gt;"","Ordered, awaiting tracking","NOT ORDERED")))</f>
        <v/>
      </c>
    </row>
    <row r="145">
      <c r="C145">
        <f>IF(B145="","",RIGHT(B145,7))</f>
        <v/>
      </c>
      <c r="L145">
        <f>IF(OR(A145="",K145=""),"",K145-A145)</f>
        <v/>
      </c>
      <c r="M145">
        <f>IF(B145="","",IF(K145&lt;&gt;"","Shipped",IF(F145&lt;&gt;"","Ordered, awaiting tracking","NOT ORDERED")))</f>
        <v/>
      </c>
    </row>
    <row r="146">
      <c r="C146">
        <f>IF(B146="","",RIGHT(B146,7))</f>
        <v/>
      </c>
      <c r="L146">
        <f>IF(OR(A146="",K146=""),"",K146-A146)</f>
        <v/>
      </c>
      <c r="M146">
        <f>IF(B146="","",IF(K146&lt;&gt;"","Shipped",IF(F146&lt;&gt;"","Ordered, awaiting tracking","NOT ORDERED")))</f>
        <v/>
      </c>
    </row>
    <row r="147">
      <c r="C147">
        <f>IF(B147="","",RIGHT(B147,7))</f>
        <v/>
      </c>
      <c r="L147">
        <f>IF(OR(A147="",K147=""),"",K147-A147)</f>
        <v/>
      </c>
      <c r="M147">
        <f>IF(B147="","",IF(K147&lt;&gt;"","Shipped",IF(F147&lt;&gt;"","Ordered, awaiting tracking","NOT ORDERED")))</f>
        <v/>
      </c>
    </row>
    <row r="148">
      <c r="C148">
        <f>IF(B148="","",RIGHT(B148,7))</f>
        <v/>
      </c>
      <c r="L148">
        <f>IF(OR(A148="",K148=""),"",K148-A148)</f>
        <v/>
      </c>
      <c r="M148">
        <f>IF(B148="","",IF(K148&lt;&gt;"","Shipped",IF(F148&lt;&gt;"","Ordered, awaiting tracking","NOT ORDERED")))</f>
        <v/>
      </c>
    </row>
    <row r="149">
      <c r="C149">
        <f>IF(B149="","",RIGHT(B149,7))</f>
        <v/>
      </c>
      <c r="L149">
        <f>IF(OR(A149="",K149=""),"",K149-A149)</f>
        <v/>
      </c>
      <c r="M149">
        <f>IF(B149="","",IF(K149&lt;&gt;"","Shipped",IF(F149&lt;&gt;"","Ordered, awaiting tracking","NOT ORDERED")))</f>
        <v/>
      </c>
    </row>
    <row r="150">
      <c r="C150">
        <f>IF(B150="","",RIGHT(B150,7))</f>
        <v/>
      </c>
      <c r="L150">
        <f>IF(OR(A150="",K150=""),"",K150-A150)</f>
        <v/>
      </c>
      <c r="M150">
        <f>IF(B150="","",IF(K150&lt;&gt;"","Shipped",IF(F150&lt;&gt;"","Ordered, awaiting tracking","NOT ORDERED")))</f>
        <v/>
      </c>
    </row>
    <row r="151">
      <c r="C151">
        <f>IF(B151="","",RIGHT(B151,7))</f>
        <v/>
      </c>
      <c r="L151">
        <f>IF(OR(A151="",K151=""),"",K151-A151)</f>
        <v/>
      </c>
      <c r="M151">
        <f>IF(B151="","",IF(K151&lt;&gt;"","Shipped",IF(F151&lt;&gt;"","Ordered, awaiting tracking","NOT ORDERED")))</f>
        <v/>
      </c>
    </row>
    <row r="152">
      <c r="C152">
        <f>IF(B152="","",RIGHT(B152,7))</f>
        <v/>
      </c>
      <c r="L152">
        <f>IF(OR(A152="",K152=""),"",K152-A152)</f>
        <v/>
      </c>
      <c r="M152">
        <f>IF(B152="","",IF(K152&lt;&gt;"","Shipped",IF(F152&lt;&gt;"","Ordered, awaiting tracking","NOT ORDERED")))</f>
        <v/>
      </c>
    </row>
    <row r="153">
      <c r="C153">
        <f>IF(B153="","",RIGHT(B153,7))</f>
        <v/>
      </c>
      <c r="L153">
        <f>IF(OR(A153="",K153=""),"",K153-A153)</f>
        <v/>
      </c>
      <c r="M153">
        <f>IF(B153="","",IF(K153&lt;&gt;"","Shipped",IF(F153&lt;&gt;"","Ordered, awaiting tracking","NOT ORDERED")))</f>
        <v/>
      </c>
    </row>
    <row r="154">
      <c r="C154">
        <f>IF(B154="","",RIGHT(B154,7))</f>
        <v/>
      </c>
      <c r="L154">
        <f>IF(OR(A154="",K154=""),"",K154-A154)</f>
        <v/>
      </c>
      <c r="M154">
        <f>IF(B154="","",IF(K154&lt;&gt;"","Shipped",IF(F154&lt;&gt;"","Ordered, awaiting tracking","NOT ORDERED")))</f>
        <v/>
      </c>
    </row>
    <row r="155">
      <c r="C155">
        <f>IF(B155="","",RIGHT(B155,7))</f>
        <v/>
      </c>
      <c r="L155">
        <f>IF(OR(A155="",K155=""),"",K155-A155)</f>
        <v/>
      </c>
      <c r="M155">
        <f>IF(B155="","",IF(K155&lt;&gt;"","Shipped",IF(F155&lt;&gt;"","Ordered, awaiting tracking","NOT ORDERED")))</f>
        <v/>
      </c>
    </row>
    <row r="156">
      <c r="C156">
        <f>IF(B156="","",RIGHT(B156,7))</f>
        <v/>
      </c>
      <c r="L156">
        <f>IF(OR(A156="",K156=""),"",K156-A156)</f>
        <v/>
      </c>
      <c r="M156">
        <f>IF(B156="","",IF(K156&lt;&gt;"","Shipped",IF(F156&lt;&gt;"","Ordered, awaiting tracking","NOT ORDERED")))</f>
        <v/>
      </c>
    </row>
    <row r="157">
      <c r="C157">
        <f>IF(B157="","",RIGHT(B157,7))</f>
        <v/>
      </c>
      <c r="L157">
        <f>IF(OR(A157="",K157=""),"",K157-A157)</f>
        <v/>
      </c>
      <c r="M157">
        <f>IF(B157="","",IF(K157&lt;&gt;"","Shipped",IF(F157&lt;&gt;"","Ordered, awaiting tracking","NOT ORDERED")))</f>
        <v/>
      </c>
    </row>
    <row r="158">
      <c r="C158">
        <f>IF(B158="","",RIGHT(B158,7))</f>
        <v/>
      </c>
      <c r="L158">
        <f>IF(OR(A158="",K158=""),"",K158-A158)</f>
        <v/>
      </c>
      <c r="M158">
        <f>IF(B158="","",IF(K158&lt;&gt;"","Shipped",IF(F158&lt;&gt;"","Ordered, awaiting tracking","NOT ORDERED")))</f>
        <v/>
      </c>
    </row>
    <row r="159">
      <c r="C159">
        <f>IF(B159="","",RIGHT(B159,7))</f>
        <v/>
      </c>
      <c r="L159">
        <f>IF(OR(A159="",K159=""),"",K159-A159)</f>
        <v/>
      </c>
      <c r="M159">
        <f>IF(B159="","",IF(K159&lt;&gt;"","Shipped",IF(F159&lt;&gt;"","Ordered, awaiting tracking","NOT ORDERED")))</f>
        <v/>
      </c>
    </row>
    <row r="160">
      <c r="C160">
        <f>IF(B160="","",RIGHT(B160,7))</f>
        <v/>
      </c>
      <c r="L160">
        <f>IF(OR(A160="",K160=""),"",K160-A160)</f>
        <v/>
      </c>
      <c r="M160">
        <f>IF(B160="","",IF(K160&lt;&gt;"","Shipped",IF(F160&lt;&gt;"","Ordered, awaiting tracking","NOT ORDERED")))</f>
        <v/>
      </c>
    </row>
    <row r="161">
      <c r="C161">
        <f>IF(B161="","",RIGHT(B161,7))</f>
        <v/>
      </c>
      <c r="L161">
        <f>IF(OR(A161="",K161=""),"",K161-A161)</f>
        <v/>
      </c>
      <c r="M161">
        <f>IF(B161="","",IF(K161&lt;&gt;"","Shipped",IF(F161&lt;&gt;"","Ordered, awaiting tracking","NOT ORDERED")))</f>
        <v/>
      </c>
    </row>
    <row r="162">
      <c r="C162">
        <f>IF(B162="","",RIGHT(B162,7))</f>
        <v/>
      </c>
      <c r="L162">
        <f>IF(OR(A162="",K162=""),"",K162-A162)</f>
        <v/>
      </c>
      <c r="M162">
        <f>IF(B162="","",IF(K162&lt;&gt;"","Shipped",IF(F162&lt;&gt;"","Ordered, awaiting tracking","NOT ORDERED")))</f>
        <v/>
      </c>
    </row>
    <row r="163">
      <c r="C163">
        <f>IF(B163="","",RIGHT(B163,7))</f>
        <v/>
      </c>
      <c r="L163">
        <f>IF(OR(A163="",K163=""),"",K163-A163)</f>
        <v/>
      </c>
      <c r="M163">
        <f>IF(B163="","",IF(K163&lt;&gt;"","Shipped",IF(F163&lt;&gt;"","Ordered, awaiting tracking","NOT ORDERED")))</f>
        <v/>
      </c>
    </row>
    <row r="164">
      <c r="C164">
        <f>IF(B164="","",RIGHT(B164,7))</f>
        <v/>
      </c>
      <c r="L164">
        <f>IF(OR(A164="",K164=""),"",K164-A164)</f>
        <v/>
      </c>
      <c r="M164">
        <f>IF(B164="","",IF(K164&lt;&gt;"","Shipped",IF(F164&lt;&gt;"","Ordered, awaiting tracking","NOT ORDERED")))</f>
        <v/>
      </c>
    </row>
    <row r="165">
      <c r="C165">
        <f>IF(B165="","",RIGHT(B165,7))</f>
        <v/>
      </c>
      <c r="L165">
        <f>IF(OR(A165="",K165=""),"",K165-A165)</f>
        <v/>
      </c>
      <c r="M165">
        <f>IF(B165="","",IF(K165&lt;&gt;"","Shipped",IF(F165&lt;&gt;"","Ordered, awaiting tracking","NOT ORDERED")))</f>
        <v/>
      </c>
    </row>
    <row r="166">
      <c r="C166">
        <f>IF(B166="","",RIGHT(B166,7))</f>
        <v/>
      </c>
      <c r="L166">
        <f>IF(OR(A166="",K166=""),"",K166-A166)</f>
        <v/>
      </c>
      <c r="M166">
        <f>IF(B166="","",IF(K166&lt;&gt;"","Shipped",IF(F166&lt;&gt;"","Ordered, awaiting tracking","NOT ORDERED")))</f>
        <v/>
      </c>
    </row>
    <row r="167">
      <c r="C167">
        <f>IF(B167="","",RIGHT(B167,7))</f>
        <v/>
      </c>
      <c r="L167">
        <f>IF(OR(A167="",K167=""),"",K167-A167)</f>
        <v/>
      </c>
      <c r="M167">
        <f>IF(B167="","",IF(K167&lt;&gt;"","Shipped",IF(F167&lt;&gt;"","Ordered, awaiting tracking","NOT ORDERED")))</f>
        <v/>
      </c>
    </row>
    <row r="168">
      <c r="C168">
        <f>IF(B168="","",RIGHT(B168,7))</f>
        <v/>
      </c>
      <c r="L168">
        <f>IF(OR(A168="",K168=""),"",K168-A168)</f>
        <v/>
      </c>
      <c r="M168">
        <f>IF(B168="","",IF(K168&lt;&gt;"","Shipped",IF(F168&lt;&gt;"","Ordered, awaiting tracking","NOT ORDERED")))</f>
        <v/>
      </c>
    </row>
    <row r="169">
      <c r="C169">
        <f>IF(B169="","",RIGHT(B169,7))</f>
        <v/>
      </c>
      <c r="L169">
        <f>IF(OR(A169="",K169=""),"",K169-A169)</f>
        <v/>
      </c>
      <c r="M169">
        <f>IF(B169="","",IF(K169&lt;&gt;"","Shipped",IF(F169&lt;&gt;"","Ordered, awaiting tracking","NOT ORDERED")))</f>
        <v/>
      </c>
    </row>
    <row r="170">
      <c r="C170">
        <f>IF(B170="","",RIGHT(B170,7))</f>
        <v/>
      </c>
      <c r="L170">
        <f>IF(OR(A170="",K170=""),"",K170-A170)</f>
        <v/>
      </c>
      <c r="M170">
        <f>IF(B170="","",IF(K170&lt;&gt;"","Shipped",IF(F170&lt;&gt;"","Ordered, awaiting tracking","NOT ORDERED")))</f>
        <v/>
      </c>
    </row>
    <row r="171">
      <c r="C171">
        <f>IF(B171="","",RIGHT(B171,7))</f>
        <v/>
      </c>
      <c r="L171">
        <f>IF(OR(A171="",K171=""),"",K171-A171)</f>
        <v/>
      </c>
      <c r="M171">
        <f>IF(B171="","",IF(K171&lt;&gt;"","Shipped",IF(F171&lt;&gt;"","Ordered, awaiting tracking","NOT ORDERED")))</f>
        <v/>
      </c>
    </row>
    <row r="172">
      <c r="C172">
        <f>IF(B172="","",RIGHT(B172,7))</f>
        <v/>
      </c>
      <c r="L172">
        <f>IF(OR(A172="",K172=""),"",K172-A172)</f>
        <v/>
      </c>
      <c r="M172">
        <f>IF(B172="","",IF(K172&lt;&gt;"","Shipped",IF(F172&lt;&gt;"","Ordered, awaiting tracking","NOT ORDERED")))</f>
        <v/>
      </c>
    </row>
    <row r="173">
      <c r="C173">
        <f>IF(B173="","",RIGHT(B173,7))</f>
        <v/>
      </c>
      <c r="L173">
        <f>IF(OR(A173="",K173=""),"",K173-A173)</f>
        <v/>
      </c>
      <c r="M173">
        <f>IF(B173="","",IF(K173&lt;&gt;"","Shipped",IF(F173&lt;&gt;"","Ordered, awaiting tracking","NOT ORDERED")))</f>
        <v/>
      </c>
    </row>
    <row r="174">
      <c r="C174">
        <f>IF(B174="","",RIGHT(B174,7))</f>
        <v/>
      </c>
      <c r="L174">
        <f>IF(OR(A174="",K174=""),"",K174-A174)</f>
        <v/>
      </c>
      <c r="M174">
        <f>IF(B174="","",IF(K174&lt;&gt;"","Shipped",IF(F174&lt;&gt;"","Ordered, awaiting tracking","NOT ORDERED")))</f>
        <v/>
      </c>
    </row>
    <row r="175">
      <c r="C175">
        <f>IF(B175="","",RIGHT(B175,7))</f>
        <v/>
      </c>
      <c r="L175">
        <f>IF(OR(A175="",K175=""),"",K175-A175)</f>
        <v/>
      </c>
      <c r="M175">
        <f>IF(B175="","",IF(K175&lt;&gt;"","Shipped",IF(F175&lt;&gt;"","Ordered, awaiting tracking","NOT ORDERED")))</f>
        <v/>
      </c>
    </row>
    <row r="176">
      <c r="C176">
        <f>IF(B176="","",RIGHT(B176,7))</f>
        <v/>
      </c>
      <c r="L176">
        <f>IF(OR(A176="",K176=""),"",K176-A176)</f>
        <v/>
      </c>
      <c r="M176">
        <f>IF(B176="","",IF(K176&lt;&gt;"","Shipped",IF(F176&lt;&gt;"","Ordered, awaiting tracking","NOT ORDERED")))</f>
        <v/>
      </c>
    </row>
    <row r="177">
      <c r="C177">
        <f>IF(B177="","",RIGHT(B177,7))</f>
        <v/>
      </c>
      <c r="L177">
        <f>IF(OR(A177="",K177=""),"",K177-A177)</f>
        <v/>
      </c>
      <c r="M177">
        <f>IF(B177="","",IF(K177&lt;&gt;"","Shipped",IF(F177&lt;&gt;"","Ordered, awaiting tracking","NOT ORDERED")))</f>
        <v/>
      </c>
    </row>
    <row r="178">
      <c r="C178">
        <f>IF(B178="","",RIGHT(B178,7))</f>
        <v/>
      </c>
      <c r="L178">
        <f>IF(OR(A178="",K178=""),"",K178-A178)</f>
        <v/>
      </c>
      <c r="M178">
        <f>IF(B178="","",IF(K178&lt;&gt;"","Shipped",IF(F178&lt;&gt;"","Ordered, awaiting tracking","NOT ORDERED")))</f>
        <v/>
      </c>
    </row>
    <row r="179">
      <c r="C179">
        <f>IF(B179="","",RIGHT(B179,7))</f>
        <v/>
      </c>
      <c r="L179">
        <f>IF(OR(A179="",K179=""),"",K179-A179)</f>
        <v/>
      </c>
      <c r="M179">
        <f>IF(B179="","",IF(K179&lt;&gt;"","Shipped",IF(F179&lt;&gt;"","Ordered, awaiting tracking","NOT ORDERED")))</f>
        <v/>
      </c>
    </row>
    <row r="180">
      <c r="C180">
        <f>IF(B180="","",RIGHT(B180,7))</f>
        <v/>
      </c>
      <c r="L180">
        <f>IF(OR(A180="",K180=""),"",K180-A180)</f>
        <v/>
      </c>
      <c r="M180">
        <f>IF(B180="","",IF(K180&lt;&gt;"","Shipped",IF(F180&lt;&gt;"","Ordered, awaiting tracking","NOT ORDERED")))</f>
        <v/>
      </c>
    </row>
    <row r="181">
      <c r="C181">
        <f>IF(B181="","",RIGHT(B181,7))</f>
        <v/>
      </c>
      <c r="L181">
        <f>IF(OR(A181="",K181=""),"",K181-A181)</f>
        <v/>
      </c>
      <c r="M181">
        <f>IF(B181="","",IF(K181&lt;&gt;"","Shipped",IF(F181&lt;&gt;"","Ordered, awaiting tracking","NOT ORDERED")))</f>
        <v/>
      </c>
    </row>
    <row r="182">
      <c r="C182">
        <f>IF(B182="","",RIGHT(B182,7))</f>
        <v/>
      </c>
      <c r="L182">
        <f>IF(OR(A182="",K182=""),"",K182-A182)</f>
        <v/>
      </c>
      <c r="M182">
        <f>IF(B182="","",IF(K182&lt;&gt;"","Shipped",IF(F182&lt;&gt;"","Ordered, awaiting tracking","NOT ORDERED")))</f>
        <v/>
      </c>
    </row>
    <row r="183">
      <c r="C183">
        <f>IF(B183="","",RIGHT(B183,7))</f>
        <v/>
      </c>
      <c r="L183">
        <f>IF(OR(A183="",K183=""),"",K183-A183)</f>
        <v/>
      </c>
      <c r="M183">
        <f>IF(B183="","",IF(K183&lt;&gt;"","Shipped",IF(F183&lt;&gt;"","Ordered, awaiting tracking","NOT ORDERED")))</f>
        <v/>
      </c>
    </row>
    <row r="184">
      <c r="C184">
        <f>IF(B184="","",RIGHT(B184,7))</f>
        <v/>
      </c>
      <c r="L184">
        <f>IF(OR(A184="",K184=""),"",K184-A184)</f>
        <v/>
      </c>
      <c r="M184">
        <f>IF(B184="","",IF(K184&lt;&gt;"","Shipped",IF(F184&lt;&gt;"","Ordered, awaiting tracking","NOT ORDERED")))</f>
        <v/>
      </c>
    </row>
    <row r="185">
      <c r="C185">
        <f>IF(B185="","",RIGHT(B185,7))</f>
        <v/>
      </c>
      <c r="L185">
        <f>IF(OR(A185="",K185=""),"",K185-A185)</f>
        <v/>
      </c>
      <c r="M185">
        <f>IF(B185="","",IF(K185&lt;&gt;"","Shipped",IF(F185&lt;&gt;"","Ordered, awaiting tracking","NOT ORDERED")))</f>
        <v/>
      </c>
    </row>
    <row r="186">
      <c r="C186">
        <f>IF(B186="","",RIGHT(B186,7))</f>
        <v/>
      </c>
      <c r="L186">
        <f>IF(OR(A186="",K186=""),"",K186-A186)</f>
        <v/>
      </c>
      <c r="M186">
        <f>IF(B186="","",IF(K186&lt;&gt;"","Shipped",IF(F186&lt;&gt;"","Ordered, awaiting tracking","NOT ORDERED")))</f>
        <v/>
      </c>
    </row>
    <row r="187">
      <c r="C187">
        <f>IF(B187="","",RIGHT(B187,7))</f>
        <v/>
      </c>
      <c r="L187">
        <f>IF(OR(A187="",K187=""),"",K187-A187)</f>
        <v/>
      </c>
      <c r="M187">
        <f>IF(B187="","",IF(K187&lt;&gt;"","Shipped",IF(F187&lt;&gt;"","Ordered, awaiting tracking","NOT ORDERED")))</f>
        <v/>
      </c>
    </row>
    <row r="188">
      <c r="C188">
        <f>IF(B188="","",RIGHT(B188,7))</f>
        <v/>
      </c>
      <c r="L188">
        <f>IF(OR(A188="",K188=""),"",K188-A188)</f>
        <v/>
      </c>
      <c r="M188">
        <f>IF(B188="","",IF(K188&lt;&gt;"","Shipped",IF(F188&lt;&gt;"","Ordered, awaiting tracking","NOT ORDERED")))</f>
        <v/>
      </c>
    </row>
    <row r="189">
      <c r="C189">
        <f>IF(B189="","",RIGHT(B189,7))</f>
        <v/>
      </c>
      <c r="L189">
        <f>IF(OR(A189="",K189=""),"",K189-A189)</f>
        <v/>
      </c>
      <c r="M189">
        <f>IF(B189="","",IF(K189&lt;&gt;"","Shipped",IF(F189&lt;&gt;"","Ordered, awaiting tracking","NOT ORDERED")))</f>
        <v/>
      </c>
    </row>
    <row r="190">
      <c r="C190">
        <f>IF(B190="","",RIGHT(B190,7))</f>
        <v/>
      </c>
      <c r="L190">
        <f>IF(OR(A190="",K190=""),"",K190-A190)</f>
        <v/>
      </c>
      <c r="M190">
        <f>IF(B190="","",IF(K190&lt;&gt;"","Shipped",IF(F190&lt;&gt;"","Ordered, awaiting tracking","NOT ORDERED")))</f>
        <v/>
      </c>
    </row>
    <row r="191">
      <c r="C191">
        <f>IF(B191="","",RIGHT(B191,7))</f>
        <v/>
      </c>
      <c r="L191">
        <f>IF(OR(A191="",K191=""),"",K191-A191)</f>
        <v/>
      </c>
      <c r="M191">
        <f>IF(B191="","",IF(K191&lt;&gt;"","Shipped",IF(F191&lt;&gt;"","Ordered, awaiting tracking","NOT ORDERED")))</f>
        <v/>
      </c>
    </row>
    <row r="192">
      <c r="C192">
        <f>IF(B192="","",RIGHT(B192,7))</f>
        <v/>
      </c>
      <c r="L192">
        <f>IF(OR(A192="",K192=""),"",K192-A192)</f>
        <v/>
      </c>
      <c r="M192">
        <f>IF(B192="","",IF(K192&lt;&gt;"","Shipped",IF(F192&lt;&gt;"","Ordered, awaiting tracking","NOT ORDERED")))</f>
        <v/>
      </c>
    </row>
    <row r="193">
      <c r="C193">
        <f>IF(B193="","",RIGHT(B193,7))</f>
        <v/>
      </c>
      <c r="L193">
        <f>IF(OR(A193="",K193=""),"",K193-A193)</f>
        <v/>
      </c>
      <c r="M193">
        <f>IF(B193="","",IF(K193&lt;&gt;"","Shipped",IF(F193&lt;&gt;"","Ordered, awaiting tracking","NOT ORDERED")))</f>
        <v/>
      </c>
    </row>
    <row r="194">
      <c r="C194">
        <f>IF(B194="","",RIGHT(B194,7))</f>
        <v/>
      </c>
      <c r="L194">
        <f>IF(OR(A194="",K194=""),"",K194-A194)</f>
        <v/>
      </c>
      <c r="M194">
        <f>IF(B194="","",IF(K194&lt;&gt;"","Shipped",IF(F194&lt;&gt;"","Ordered, awaiting tracking","NOT ORDERED")))</f>
        <v/>
      </c>
    </row>
    <row r="195">
      <c r="C195">
        <f>IF(B195="","",RIGHT(B195,7))</f>
        <v/>
      </c>
      <c r="L195">
        <f>IF(OR(A195="",K195=""),"",K195-A195)</f>
        <v/>
      </c>
      <c r="M195">
        <f>IF(B195="","",IF(K195&lt;&gt;"","Shipped",IF(F195&lt;&gt;"","Ordered, awaiting tracking","NOT ORDERED")))</f>
        <v/>
      </c>
    </row>
    <row r="196">
      <c r="C196">
        <f>IF(B196="","",RIGHT(B196,7))</f>
        <v/>
      </c>
      <c r="L196">
        <f>IF(OR(A196="",K196=""),"",K196-A196)</f>
        <v/>
      </c>
      <c r="M196">
        <f>IF(B196="","",IF(K196&lt;&gt;"","Shipped",IF(F196&lt;&gt;"","Ordered, awaiting tracking","NOT ORDERED")))</f>
        <v/>
      </c>
    </row>
    <row r="197">
      <c r="C197">
        <f>IF(B197="","",RIGHT(B197,7))</f>
        <v/>
      </c>
      <c r="L197">
        <f>IF(OR(A197="",K197=""),"",K197-A197)</f>
        <v/>
      </c>
      <c r="M197">
        <f>IF(B197="","",IF(K197&lt;&gt;"","Shipped",IF(F197&lt;&gt;"","Ordered, awaiting tracking","NOT ORDERED")))</f>
        <v/>
      </c>
    </row>
    <row r="198">
      <c r="C198">
        <f>IF(B198="","",RIGHT(B198,7))</f>
        <v/>
      </c>
      <c r="L198">
        <f>IF(OR(A198="",K198=""),"",K198-A198)</f>
        <v/>
      </c>
      <c r="M198">
        <f>IF(B198="","",IF(K198&lt;&gt;"","Shipped",IF(F198&lt;&gt;"","Ordered, awaiting tracking","NOT ORDERED")))</f>
        <v/>
      </c>
    </row>
    <row r="199">
      <c r="C199">
        <f>IF(B199="","",RIGHT(B199,7))</f>
        <v/>
      </c>
      <c r="L199">
        <f>IF(OR(A199="",K199=""),"",K199-A199)</f>
        <v/>
      </c>
      <c r="M199">
        <f>IF(B199="","",IF(K199&lt;&gt;"","Shipped",IF(F199&lt;&gt;"","Ordered, awaiting tracking","NOT ORDERED")))</f>
        <v/>
      </c>
    </row>
    <row r="200">
      <c r="C200">
        <f>IF(B200="","",RIGHT(B200,7))</f>
        <v/>
      </c>
      <c r="L200">
        <f>IF(OR(A200="",K200=""),"",K200-A200)</f>
        <v/>
      </c>
      <c r="M200">
        <f>IF(B200="","",IF(K200&lt;&gt;"","Shipped",IF(F200&lt;&gt;"","Ordered, awaiting tracking","NOT ORDERED")))</f>
        <v/>
      </c>
    </row>
    <row r="201">
      <c r="C201">
        <f>IF(B201="","",RIGHT(B201,7))</f>
        <v/>
      </c>
      <c r="L201">
        <f>IF(OR(A201="",K201=""),"",K201-A201)</f>
        <v/>
      </c>
      <c r="M201">
        <f>IF(B201="","",IF(K201&lt;&gt;"","Shipped",IF(F201&lt;&gt;"","Ordered, awaiting tracking","NOT ORDERED")))</f>
        <v/>
      </c>
    </row>
    <row r="202">
      <c r="C202">
        <f>IF(B202="","",RIGHT(B202,7))</f>
        <v/>
      </c>
      <c r="L202">
        <f>IF(OR(A202="",K202=""),"",K202-A202)</f>
        <v/>
      </c>
      <c r="M202">
        <f>IF(B202="","",IF(K202&lt;&gt;"","Shipped",IF(F202&lt;&gt;"","Ordered, awaiting tracking","NOT ORDERED")))</f>
        <v/>
      </c>
    </row>
    <row r="203">
      <c r="C203">
        <f>IF(B203="","",RIGHT(B203,7))</f>
        <v/>
      </c>
      <c r="L203">
        <f>IF(OR(A203="",K203=""),"",K203-A203)</f>
        <v/>
      </c>
      <c r="M203">
        <f>IF(B203="","",IF(K203&lt;&gt;"","Shipped",IF(F203&lt;&gt;"","Ordered, awaiting tracking","NOT ORDERED")))</f>
        <v/>
      </c>
    </row>
    <row r="204">
      <c r="C204">
        <f>IF(B204="","",RIGHT(B204,7))</f>
        <v/>
      </c>
      <c r="L204">
        <f>IF(OR(A204="",K204=""),"",K204-A204)</f>
        <v/>
      </c>
      <c r="M204">
        <f>IF(B204="","",IF(K204&lt;&gt;"","Shipped",IF(F204&lt;&gt;"","Ordered, awaiting tracking","NOT ORDERED")))</f>
        <v/>
      </c>
    </row>
    <row r="205">
      <c r="C205">
        <f>IF(B205="","",RIGHT(B205,7))</f>
        <v/>
      </c>
      <c r="L205">
        <f>IF(OR(A205="",K205=""),"",K205-A205)</f>
        <v/>
      </c>
      <c r="M205">
        <f>IF(B205="","",IF(K205&lt;&gt;"","Shipped",IF(F205&lt;&gt;"","Ordered, awaiting tracking","NOT ORDERED")))</f>
        <v/>
      </c>
    </row>
    <row r="206">
      <c r="C206">
        <f>IF(B206="","",RIGHT(B206,7))</f>
        <v/>
      </c>
      <c r="L206">
        <f>IF(OR(A206="",K206=""),"",K206-A206)</f>
        <v/>
      </c>
      <c r="M206">
        <f>IF(B206="","",IF(K206&lt;&gt;"","Shipped",IF(F206&lt;&gt;"","Ordered, awaiting tracking","NOT ORDERED")))</f>
        <v/>
      </c>
    </row>
    <row r="207">
      <c r="C207">
        <f>IF(B207="","",RIGHT(B207,7))</f>
        <v/>
      </c>
      <c r="L207">
        <f>IF(OR(A207="",K207=""),"",K207-A207)</f>
        <v/>
      </c>
      <c r="M207">
        <f>IF(B207="","",IF(K207&lt;&gt;"","Shipped",IF(F207&lt;&gt;"","Ordered, awaiting tracking","NOT ORDERED")))</f>
        <v/>
      </c>
    </row>
    <row r="208">
      <c r="C208">
        <f>IF(B208="","",RIGHT(B208,7))</f>
        <v/>
      </c>
      <c r="L208">
        <f>IF(OR(A208="",K208=""),"",K208-A208)</f>
        <v/>
      </c>
      <c r="M208">
        <f>IF(B208="","",IF(K208&lt;&gt;"","Shipped",IF(F208&lt;&gt;"","Ordered, awaiting tracking","NOT ORDERED")))</f>
        <v/>
      </c>
    </row>
    <row r="209">
      <c r="C209">
        <f>IF(B209="","",RIGHT(B209,7))</f>
        <v/>
      </c>
      <c r="L209">
        <f>IF(OR(A209="",K209=""),"",K209-A209)</f>
        <v/>
      </c>
      <c r="M209">
        <f>IF(B209="","",IF(K209&lt;&gt;"","Shipped",IF(F209&lt;&gt;"","Ordered, awaiting tracking","NOT ORDERED")))</f>
        <v/>
      </c>
    </row>
    <row r="210">
      <c r="C210">
        <f>IF(B210="","",RIGHT(B210,7))</f>
        <v/>
      </c>
      <c r="L210">
        <f>IF(OR(A210="",K210=""),"",K210-A210)</f>
        <v/>
      </c>
      <c r="M210">
        <f>IF(B210="","",IF(K210&lt;&gt;"","Shipped",IF(F210&lt;&gt;"","Ordered, awaiting tracking","NOT ORDERED")))</f>
        <v/>
      </c>
    </row>
    <row r="211">
      <c r="C211">
        <f>IF(B211="","",RIGHT(B211,7))</f>
        <v/>
      </c>
      <c r="L211">
        <f>IF(OR(A211="",K211=""),"",K211-A211)</f>
        <v/>
      </c>
      <c r="M211">
        <f>IF(B211="","",IF(K211&lt;&gt;"","Shipped",IF(F211&lt;&gt;"","Ordered, awaiting tracking","NOT ORDERED")))</f>
        <v/>
      </c>
    </row>
    <row r="212">
      <c r="C212">
        <f>IF(B212="","",RIGHT(B212,7))</f>
        <v/>
      </c>
      <c r="L212">
        <f>IF(OR(A212="",K212=""),"",K212-A212)</f>
        <v/>
      </c>
      <c r="M212">
        <f>IF(B212="","",IF(K212&lt;&gt;"","Shipped",IF(F212&lt;&gt;"","Ordered, awaiting tracking","NOT ORDERED")))</f>
        <v/>
      </c>
    </row>
    <row r="213">
      <c r="C213">
        <f>IF(B213="","",RIGHT(B213,7))</f>
        <v/>
      </c>
      <c r="L213">
        <f>IF(OR(A213="",K213=""),"",K213-A213)</f>
        <v/>
      </c>
      <c r="M213">
        <f>IF(B213="","",IF(K213&lt;&gt;"","Shipped",IF(F213&lt;&gt;"","Ordered, awaiting tracking","NOT ORDERED")))</f>
        <v/>
      </c>
    </row>
    <row r="214">
      <c r="C214">
        <f>IF(B214="","",RIGHT(B214,7))</f>
        <v/>
      </c>
      <c r="L214">
        <f>IF(OR(A214="",K214=""),"",K214-A214)</f>
        <v/>
      </c>
      <c r="M214">
        <f>IF(B214="","",IF(K214&lt;&gt;"","Shipped",IF(F214&lt;&gt;"","Ordered, awaiting tracking","NOT ORDERED")))</f>
        <v/>
      </c>
    </row>
    <row r="215">
      <c r="C215">
        <f>IF(B215="","",RIGHT(B215,7))</f>
        <v/>
      </c>
      <c r="L215">
        <f>IF(OR(A215="",K215=""),"",K215-A215)</f>
        <v/>
      </c>
      <c r="M215">
        <f>IF(B215="","",IF(K215&lt;&gt;"","Shipped",IF(F215&lt;&gt;"","Ordered, awaiting tracking","NOT ORDERED")))</f>
        <v/>
      </c>
    </row>
    <row r="216">
      <c r="C216">
        <f>IF(B216="","",RIGHT(B216,7))</f>
        <v/>
      </c>
      <c r="L216">
        <f>IF(OR(A216="",K216=""),"",K216-A216)</f>
        <v/>
      </c>
      <c r="M216">
        <f>IF(B216="","",IF(K216&lt;&gt;"","Shipped",IF(F216&lt;&gt;"","Ordered, awaiting tracking","NOT ORDERED")))</f>
        <v/>
      </c>
    </row>
    <row r="217">
      <c r="C217">
        <f>IF(B217="","",RIGHT(B217,7))</f>
        <v/>
      </c>
      <c r="L217">
        <f>IF(OR(A217="",K217=""),"",K217-A217)</f>
        <v/>
      </c>
      <c r="M217">
        <f>IF(B217="","",IF(K217&lt;&gt;"","Shipped",IF(F217&lt;&gt;"","Ordered, awaiting tracking","NOT ORDERED")))</f>
        <v/>
      </c>
    </row>
    <row r="218">
      <c r="C218">
        <f>IF(B218="","",RIGHT(B218,7))</f>
        <v/>
      </c>
      <c r="L218">
        <f>IF(OR(A218="",K218=""),"",K218-A218)</f>
        <v/>
      </c>
      <c r="M218">
        <f>IF(B218="","",IF(K218&lt;&gt;"","Shipped",IF(F218&lt;&gt;"","Ordered, awaiting tracking","NOT ORDERED")))</f>
        <v/>
      </c>
    </row>
    <row r="219">
      <c r="C219">
        <f>IF(B219="","",RIGHT(B219,7))</f>
        <v/>
      </c>
      <c r="L219">
        <f>IF(OR(A219="",K219=""),"",K219-A219)</f>
        <v/>
      </c>
      <c r="M219">
        <f>IF(B219="","",IF(K219&lt;&gt;"","Shipped",IF(F219&lt;&gt;"","Ordered, awaiting tracking","NOT ORDERED")))</f>
        <v/>
      </c>
    </row>
    <row r="220">
      <c r="C220">
        <f>IF(B220="","",RIGHT(B220,7))</f>
        <v/>
      </c>
      <c r="L220">
        <f>IF(OR(A220="",K220=""),"",K220-A220)</f>
        <v/>
      </c>
      <c r="M220">
        <f>IF(B220="","",IF(K220&lt;&gt;"","Shipped",IF(F220&lt;&gt;"","Ordered, awaiting tracking","NOT ORDERED")))</f>
        <v/>
      </c>
    </row>
    <row r="221">
      <c r="C221">
        <f>IF(B221="","",RIGHT(B221,7))</f>
        <v/>
      </c>
      <c r="L221">
        <f>IF(OR(A221="",K221=""),"",K221-A221)</f>
        <v/>
      </c>
      <c r="M221">
        <f>IF(B221="","",IF(K221&lt;&gt;"","Shipped",IF(F221&lt;&gt;"","Ordered, awaiting tracking","NOT ORDERED")))</f>
        <v/>
      </c>
    </row>
    <row r="222">
      <c r="C222">
        <f>IF(B222="","",RIGHT(B222,7))</f>
        <v/>
      </c>
      <c r="L222">
        <f>IF(OR(A222="",K222=""),"",K222-A222)</f>
        <v/>
      </c>
      <c r="M222">
        <f>IF(B222="","",IF(K222&lt;&gt;"","Shipped",IF(F222&lt;&gt;"","Ordered, awaiting tracking","NOT ORDERED")))</f>
        <v/>
      </c>
    </row>
    <row r="223">
      <c r="C223">
        <f>IF(B223="","",RIGHT(B223,7))</f>
        <v/>
      </c>
      <c r="L223">
        <f>IF(OR(A223="",K223=""),"",K223-A223)</f>
        <v/>
      </c>
      <c r="M223">
        <f>IF(B223="","",IF(K223&lt;&gt;"","Shipped",IF(F223&lt;&gt;"","Ordered, awaiting tracking","NOT ORDERED")))</f>
        <v/>
      </c>
    </row>
    <row r="224">
      <c r="C224">
        <f>IF(B224="","",RIGHT(B224,7))</f>
        <v/>
      </c>
      <c r="L224">
        <f>IF(OR(A224="",K224=""),"",K224-A224)</f>
        <v/>
      </c>
      <c r="M224">
        <f>IF(B224="","",IF(K224&lt;&gt;"","Shipped",IF(F224&lt;&gt;"","Ordered, awaiting tracking","NOT ORDERED")))</f>
        <v/>
      </c>
    </row>
    <row r="225">
      <c r="C225">
        <f>IF(B225="","",RIGHT(B225,7))</f>
        <v/>
      </c>
      <c r="L225">
        <f>IF(OR(A225="",K225=""),"",K225-A225)</f>
        <v/>
      </c>
      <c r="M225">
        <f>IF(B225="","",IF(K225&lt;&gt;"","Shipped",IF(F225&lt;&gt;"","Ordered, awaiting tracking","NOT ORDERED")))</f>
        <v/>
      </c>
    </row>
    <row r="226">
      <c r="C226">
        <f>IF(B226="","",RIGHT(B226,7))</f>
        <v/>
      </c>
      <c r="L226">
        <f>IF(OR(A226="",K226=""),"",K226-A226)</f>
        <v/>
      </c>
      <c r="M226">
        <f>IF(B226="","",IF(K226&lt;&gt;"","Shipped",IF(F226&lt;&gt;"","Ordered, awaiting tracking","NOT ORDERED")))</f>
        <v/>
      </c>
    </row>
    <row r="227">
      <c r="C227">
        <f>IF(B227="","",RIGHT(B227,7))</f>
        <v/>
      </c>
      <c r="L227">
        <f>IF(OR(A227="",K227=""),"",K227-A227)</f>
        <v/>
      </c>
      <c r="M227">
        <f>IF(B227="","",IF(K227&lt;&gt;"","Shipped",IF(F227&lt;&gt;"","Ordered, awaiting tracking","NOT ORDERED")))</f>
        <v/>
      </c>
    </row>
    <row r="228">
      <c r="C228">
        <f>IF(B228="","",RIGHT(B228,7))</f>
        <v/>
      </c>
      <c r="L228">
        <f>IF(OR(A228="",K228=""),"",K228-A228)</f>
        <v/>
      </c>
      <c r="M228">
        <f>IF(B228="","",IF(K228&lt;&gt;"","Shipped",IF(F228&lt;&gt;"","Ordered, awaiting tracking","NOT ORDERED")))</f>
        <v/>
      </c>
    </row>
    <row r="229">
      <c r="C229">
        <f>IF(B229="","",RIGHT(B229,7))</f>
        <v/>
      </c>
      <c r="L229">
        <f>IF(OR(A229="",K229=""),"",K229-A229)</f>
        <v/>
      </c>
      <c r="M229">
        <f>IF(B229="","",IF(K229&lt;&gt;"","Shipped",IF(F229&lt;&gt;"","Ordered, awaiting tracking","NOT ORDERED")))</f>
        <v/>
      </c>
    </row>
    <row r="230">
      <c r="C230">
        <f>IF(B230="","",RIGHT(B230,7))</f>
        <v/>
      </c>
      <c r="L230">
        <f>IF(OR(A230="",K230=""),"",K230-A230)</f>
        <v/>
      </c>
      <c r="M230">
        <f>IF(B230="","",IF(K230&lt;&gt;"","Shipped",IF(F230&lt;&gt;"","Ordered, awaiting tracking","NOT ORDERED")))</f>
        <v/>
      </c>
    </row>
    <row r="231">
      <c r="C231">
        <f>IF(B231="","",RIGHT(B231,7))</f>
        <v/>
      </c>
      <c r="L231">
        <f>IF(OR(A231="",K231=""),"",K231-A231)</f>
        <v/>
      </c>
      <c r="M231">
        <f>IF(B231="","",IF(K231&lt;&gt;"","Shipped",IF(F231&lt;&gt;"","Ordered, awaiting tracking","NOT ORDERED")))</f>
        <v/>
      </c>
    </row>
    <row r="232">
      <c r="C232">
        <f>IF(B232="","",RIGHT(B232,7))</f>
        <v/>
      </c>
      <c r="L232">
        <f>IF(OR(A232="",K232=""),"",K232-A232)</f>
        <v/>
      </c>
      <c r="M232">
        <f>IF(B232="","",IF(K232&lt;&gt;"","Shipped",IF(F232&lt;&gt;"","Ordered, awaiting tracking","NOT ORDERED")))</f>
        <v/>
      </c>
    </row>
    <row r="233">
      <c r="C233">
        <f>IF(B233="","",RIGHT(B233,7))</f>
        <v/>
      </c>
      <c r="L233">
        <f>IF(OR(A233="",K233=""),"",K233-A233)</f>
        <v/>
      </c>
      <c r="M233">
        <f>IF(B233="","",IF(K233&lt;&gt;"","Shipped",IF(F233&lt;&gt;"","Ordered, awaiting tracking","NOT ORDERED")))</f>
        <v/>
      </c>
    </row>
    <row r="234">
      <c r="C234">
        <f>IF(B234="","",RIGHT(B234,7))</f>
        <v/>
      </c>
      <c r="L234">
        <f>IF(OR(A234="",K234=""),"",K234-A234)</f>
        <v/>
      </c>
      <c r="M234">
        <f>IF(B234="","",IF(K234&lt;&gt;"","Shipped",IF(F234&lt;&gt;"","Ordered, awaiting tracking","NOT ORDERED")))</f>
        <v/>
      </c>
    </row>
    <row r="235">
      <c r="C235">
        <f>IF(B235="","",RIGHT(B235,7))</f>
        <v/>
      </c>
      <c r="L235">
        <f>IF(OR(A235="",K235=""),"",K235-A235)</f>
        <v/>
      </c>
      <c r="M235">
        <f>IF(B235="","",IF(K235&lt;&gt;"","Shipped",IF(F235&lt;&gt;"","Ordered, awaiting tracking","NOT ORDERED")))</f>
        <v/>
      </c>
    </row>
    <row r="236">
      <c r="C236">
        <f>IF(B236="","",RIGHT(B236,7))</f>
        <v/>
      </c>
      <c r="L236">
        <f>IF(OR(A236="",K236=""),"",K236-A236)</f>
        <v/>
      </c>
      <c r="M236">
        <f>IF(B236="","",IF(K236&lt;&gt;"","Shipped",IF(F236&lt;&gt;"","Ordered, awaiting tracking","NOT ORDERED")))</f>
        <v/>
      </c>
    </row>
    <row r="237">
      <c r="C237">
        <f>IF(B237="","",RIGHT(B237,7))</f>
        <v/>
      </c>
      <c r="L237">
        <f>IF(OR(A237="",K237=""),"",K237-A237)</f>
        <v/>
      </c>
      <c r="M237">
        <f>IF(B237="","",IF(K237&lt;&gt;"","Shipped",IF(F237&lt;&gt;"","Ordered, awaiting tracking","NOT ORDERED")))</f>
        <v/>
      </c>
    </row>
    <row r="238">
      <c r="C238">
        <f>IF(B238="","",RIGHT(B238,7))</f>
        <v/>
      </c>
      <c r="L238">
        <f>IF(OR(A238="",K238=""),"",K238-A238)</f>
        <v/>
      </c>
      <c r="M238">
        <f>IF(B238="","",IF(K238&lt;&gt;"","Shipped",IF(F238&lt;&gt;"","Ordered, awaiting tracking","NOT ORDERED")))</f>
        <v/>
      </c>
    </row>
    <row r="239">
      <c r="C239">
        <f>IF(B239="","",RIGHT(B239,7))</f>
        <v/>
      </c>
      <c r="L239">
        <f>IF(OR(A239="",K239=""),"",K239-A239)</f>
        <v/>
      </c>
      <c r="M239">
        <f>IF(B239="","",IF(K239&lt;&gt;"","Shipped",IF(F239&lt;&gt;"","Ordered, awaiting tracking","NOT ORDERED")))</f>
        <v/>
      </c>
    </row>
    <row r="240">
      <c r="C240">
        <f>IF(B240="","",RIGHT(B240,7))</f>
        <v/>
      </c>
      <c r="L240">
        <f>IF(OR(A240="",K240=""),"",K240-A240)</f>
        <v/>
      </c>
      <c r="M240">
        <f>IF(B240="","",IF(K240&lt;&gt;"","Shipped",IF(F240&lt;&gt;"","Ordered, awaiting tracking","NOT ORDERED")))</f>
        <v/>
      </c>
    </row>
    <row r="241">
      <c r="C241">
        <f>IF(B241="","",RIGHT(B241,7))</f>
        <v/>
      </c>
      <c r="L241">
        <f>IF(OR(A241="",K241=""),"",K241-A241)</f>
        <v/>
      </c>
      <c r="M241">
        <f>IF(B241="","",IF(K241&lt;&gt;"","Shipped",IF(F241&lt;&gt;"","Ordered, awaiting tracking","NOT ORDERED")))</f>
        <v/>
      </c>
    </row>
    <row r="242">
      <c r="C242">
        <f>IF(B242="","",RIGHT(B242,7))</f>
        <v/>
      </c>
      <c r="L242">
        <f>IF(OR(A242="",K242=""),"",K242-A242)</f>
        <v/>
      </c>
      <c r="M242">
        <f>IF(B242="","",IF(K242&lt;&gt;"","Shipped",IF(F242&lt;&gt;"","Ordered, awaiting tracking","NOT ORDERED")))</f>
        <v/>
      </c>
    </row>
    <row r="243">
      <c r="C243">
        <f>IF(B243="","",RIGHT(B243,7))</f>
        <v/>
      </c>
      <c r="L243">
        <f>IF(OR(A243="",K243=""),"",K243-A243)</f>
        <v/>
      </c>
      <c r="M243">
        <f>IF(B243="","",IF(K243&lt;&gt;"","Shipped",IF(F243&lt;&gt;"","Ordered, awaiting tracking","NOT ORDERED")))</f>
        <v/>
      </c>
    </row>
    <row r="244">
      <c r="C244">
        <f>IF(B244="","",RIGHT(B244,7))</f>
        <v/>
      </c>
      <c r="L244">
        <f>IF(OR(A244="",K244=""),"",K244-A244)</f>
        <v/>
      </c>
      <c r="M244">
        <f>IF(B244="","",IF(K244&lt;&gt;"","Shipped",IF(F244&lt;&gt;"","Ordered, awaiting tracking","NOT ORDERED")))</f>
        <v/>
      </c>
    </row>
    <row r="245">
      <c r="C245">
        <f>IF(B245="","",RIGHT(B245,7))</f>
        <v/>
      </c>
      <c r="L245">
        <f>IF(OR(A245="",K245=""),"",K245-A245)</f>
        <v/>
      </c>
      <c r="M245">
        <f>IF(B245="","",IF(K245&lt;&gt;"","Shipped",IF(F245&lt;&gt;"","Ordered, awaiting tracking","NOT ORDERED")))</f>
        <v/>
      </c>
    </row>
    <row r="246">
      <c r="C246">
        <f>IF(B246="","",RIGHT(B246,7))</f>
        <v/>
      </c>
      <c r="L246">
        <f>IF(OR(A246="",K246=""),"",K246-A246)</f>
        <v/>
      </c>
      <c r="M246">
        <f>IF(B246="","",IF(K246&lt;&gt;"","Shipped",IF(F246&lt;&gt;"","Ordered, awaiting tracking","NOT ORDERED")))</f>
        <v/>
      </c>
    </row>
    <row r="247">
      <c r="C247">
        <f>IF(B247="","",RIGHT(B247,7))</f>
        <v/>
      </c>
      <c r="L247">
        <f>IF(OR(A247="",K247=""),"",K247-A247)</f>
        <v/>
      </c>
      <c r="M247">
        <f>IF(B247="","",IF(K247&lt;&gt;"","Shipped",IF(F247&lt;&gt;"","Ordered, awaiting tracking","NOT ORDERED")))</f>
        <v/>
      </c>
    </row>
    <row r="248">
      <c r="C248">
        <f>IF(B248="","",RIGHT(B248,7))</f>
        <v/>
      </c>
      <c r="L248">
        <f>IF(OR(A248="",K248=""),"",K248-A248)</f>
        <v/>
      </c>
      <c r="M248">
        <f>IF(B248="","",IF(K248&lt;&gt;"","Shipped",IF(F248&lt;&gt;"","Ordered, awaiting tracking","NOT ORDERED")))</f>
        <v/>
      </c>
    </row>
    <row r="249">
      <c r="C249">
        <f>IF(B249="","",RIGHT(B249,7))</f>
        <v/>
      </c>
      <c r="L249">
        <f>IF(OR(A249="",K249=""),"",K249-A249)</f>
        <v/>
      </c>
      <c r="M249">
        <f>IF(B249="","",IF(K249&lt;&gt;"","Shipped",IF(F249&lt;&gt;"","Ordered, awaiting tracking","NOT ORDERED")))</f>
        <v/>
      </c>
    </row>
    <row r="250">
      <c r="C250">
        <f>IF(B250="","",RIGHT(B250,7))</f>
        <v/>
      </c>
      <c r="L250">
        <f>IF(OR(A250="",K250=""),"",K250-A250)</f>
        <v/>
      </c>
      <c r="M250">
        <f>IF(B250="","",IF(K250&lt;&gt;"","Shipped",IF(F250&lt;&gt;"","Ordered, awaiting tracking","NOT ORDERED")))</f>
        <v/>
      </c>
    </row>
    <row r="251">
      <c r="C251">
        <f>IF(B251="","",RIGHT(B251,7))</f>
        <v/>
      </c>
      <c r="L251">
        <f>IF(OR(A251="",K251=""),"",K251-A251)</f>
        <v/>
      </c>
      <c r="M251">
        <f>IF(B251="","",IF(K251&lt;&gt;"","Shipped",IF(F251&lt;&gt;"","Ordered, awaiting tracking","NOT ORDERED")))</f>
        <v/>
      </c>
    </row>
    <row r="252">
      <c r="C252">
        <f>IF(B252="","",RIGHT(B252,7))</f>
        <v/>
      </c>
      <c r="L252">
        <f>IF(OR(A252="",K252=""),"",K252-A252)</f>
        <v/>
      </c>
      <c r="M252">
        <f>IF(B252="","",IF(K252&lt;&gt;"","Shipped",IF(F252&lt;&gt;"","Ordered, awaiting tracking","NOT ORDERED")))</f>
        <v/>
      </c>
    </row>
    <row r="253">
      <c r="C253">
        <f>IF(B253="","",RIGHT(B253,7))</f>
        <v/>
      </c>
      <c r="L253">
        <f>IF(OR(A253="",K253=""),"",K253-A253)</f>
        <v/>
      </c>
      <c r="M253">
        <f>IF(B253="","",IF(K253&lt;&gt;"","Shipped",IF(F253&lt;&gt;"","Ordered, awaiting tracking","NOT ORDERED")))</f>
        <v/>
      </c>
    </row>
    <row r="254">
      <c r="C254">
        <f>IF(B254="","",RIGHT(B254,7))</f>
        <v/>
      </c>
      <c r="L254">
        <f>IF(OR(A254="",K254=""),"",K254-A254)</f>
        <v/>
      </c>
      <c r="M254">
        <f>IF(B254="","",IF(K254&lt;&gt;"","Shipped",IF(F254&lt;&gt;"","Ordered, awaiting tracking","NOT ORDERED")))</f>
        <v/>
      </c>
    </row>
    <row r="255">
      <c r="C255">
        <f>IF(B255="","",RIGHT(B255,7))</f>
        <v/>
      </c>
      <c r="L255">
        <f>IF(OR(A255="",K255=""),"",K255-A255)</f>
        <v/>
      </c>
      <c r="M255">
        <f>IF(B255="","",IF(K255&lt;&gt;"","Shipped",IF(F255&lt;&gt;"","Ordered, awaiting tracking","NOT ORDERED")))</f>
        <v/>
      </c>
    </row>
    <row r="256">
      <c r="C256">
        <f>IF(B256="","",RIGHT(B256,7))</f>
        <v/>
      </c>
      <c r="L256">
        <f>IF(OR(A256="",K256=""),"",K256-A256)</f>
        <v/>
      </c>
      <c r="M256">
        <f>IF(B256="","",IF(K256&lt;&gt;"","Shipped",IF(F256&lt;&gt;"","Ordered, awaiting tracking","NOT ORDERED")))</f>
        <v/>
      </c>
    </row>
    <row r="257">
      <c r="C257">
        <f>IF(B257="","",RIGHT(B257,7))</f>
        <v/>
      </c>
      <c r="L257">
        <f>IF(OR(A257="",K257=""),"",K257-A257)</f>
        <v/>
      </c>
      <c r="M257">
        <f>IF(B257="","",IF(K257&lt;&gt;"","Shipped",IF(F257&lt;&gt;"","Ordered, awaiting tracking","NOT ORDERED")))</f>
        <v/>
      </c>
    </row>
    <row r="258">
      <c r="C258">
        <f>IF(B258="","",RIGHT(B258,7))</f>
        <v/>
      </c>
      <c r="L258">
        <f>IF(OR(A258="",K258=""),"",K258-A258)</f>
        <v/>
      </c>
      <c r="M258">
        <f>IF(B258="","",IF(K258&lt;&gt;"","Shipped",IF(F258&lt;&gt;"","Ordered, awaiting tracking","NOT ORDERED")))</f>
        <v/>
      </c>
    </row>
    <row r="259">
      <c r="C259">
        <f>IF(B259="","",RIGHT(B259,7))</f>
        <v/>
      </c>
      <c r="L259">
        <f>IF(OR(A259="",K259=""),"",K259-A259)</f>
        <v/>
      </c>
      <c r="M259">
        <f>IF(B259="","",IF(K259&lt;&gt;"","Shipped",IF(F259&lt;&gt;"","Ordered, awaiting tracking","NOT ORDERED")))</f>
        <v/>
      </c>
    </row>
    <row r="260">
      <c r="C260">
        <f>IF(B260="","",RIGHT(B260,7))</f>
        <v/>
      </c>
      <c r="L260">
        <f>IF(OR(A260="",K260=""),"",K260-A260)</f>
        <v/>
      </c>
      <c r="M260">
        <f>IF(B260="","",IF(K260&lt;&gt;"","Shipped",IF(F260&lt;&gt;"","Ordered, awaiting tracking","NOT ORDERED")))</f>
        <v/>
      </c>
    </row>
    <row r="261">
      <c r="C261">
        <f>IF(B261="","",RIGHT(B261,7))</f>
        <v/>
      </c>
      <c r="L261">
        <f>IF(OR(A261="",K261=""),"",K261-A261)</f>
        <v/>
      </c>
      <c r="M261">
        <f>IF(B261="","",IF(K261&lt;&gt;"","Shipped",IF(F261&lt;&gt;"","Ordered, awaiting tracking","NOT ORDERED")))</f>
        <v/>
      </c>
    </row>
    <row r="262">
      <c r="C262">
        <f>IF(B262="","",RIGHT(B262,7))</f>
        <v/>
      </c>
      <c r="L262">
        <f>IF(OR(A262="",K262=""),"",K262-A262)</f>
        <v/>
      </c>
      <c r="M262">
        <f>IF(B262="","",IF(K262&lt;&gt;"","Shipped",IF(F262&lt;&gt;"","Ordered, awaiting tracking","NOT ORDERED")))</f>
        <v/>
      </c>
    </row>
    <row r="263">
      <c r="C263">
        <f>IF(B263="","",RIGHT(B263,7))</f>
        <v/>
      </c>
      <c r="L263">
        <f>IF(OR(A263="",K263=""),"",K263-A263)</f>
        <v/>
      </c>
      <c r="M263">
        <f>IF(B263="","",IF(K263&lt;&gt;"","Shipped",IF(F263&lt;&gt;"","Ordered, awaiting tracking","NOT ORDERED")))</f>
        <v/>
      </c>
    </row>
    <row r="264">
      <c r="C264">
        <f>IF(B264="","",RIGHT(B264,7))</f>
        <v/>
      </c>
      <c r="L264">
        <f>IF(OR(A264="",K264=""),"",K264-A264)</f>
        <v/>
      </c>
      <c r="M264">
        <f>IF(B264="","",IF(K264&lt;&gt;"","Shipped",IF(F264&lt;&gt;"","Ordered, awaiting tracking","NOT ORDERED")))</f>
        <v/>
      </c>
    </row>
    <row r="265">
      <c r="C265">
        <f>IF(B265="","",RIGHT(B265,7))</f>
        <v/>
      </c>
      <c r="L265">
        <f>IF(OR(A265="",K265=""),"",K265-A265)</f>
        <v/>
      </c>
      <c r="M265">
        <f>IF(B265="","",IF(K265&lt;&gt;"","Shipped",IF(F265&lt;&gt;"","Ordered, awaiting tracking","NOT ORDERED")))</f>
        <v/>
      </c>
    </row>
    <row r="266">
      <c r="C266">
        <f>IF(B266="","",RIGHT(B266,7))</f>
        <v/>
      </c>
      <c r="L266">
        <f>IF(OR(A266="",K266=""),"",K266-A266)</f>
        <v/>
      </c>
      <c r="M266">
        <f>IF(B266="","",IF(K266&lt;&gt;"","Shipped",IF(F266&lt;&gt;"","Ordered, awaiting tracking","NOT ORDERED")))</f>
        <v/>
      </c>
    </row>
    <row r="267">
      <c r="C267">
        <f>IF(B267="","",RIGHT(B267,7))</f>
        <v/>
      </c>
      <c r="L267">
        <f>IF(OR(A267="",K267=""),"",K267-A267)</f>
        <v/>
      </c>
      <c r="M267">
        <f>IF(B267="","",IF(K267&lt;&gt;"","Shipped",IF(F267&lt;&gt;"","Ordered, awaiting tracking","NOT ORDERED")))</f>
        <v/>
      </c>
    </row>
    <row r="268">
      <c r="C268">
        <f>IF(B268="","",RIGHT(B268,7))</f>
        <v/>
      </c>
      <c r="L268">
        <f>IF(OR(A268="",K268=""),"",K268-A268)</f>
        <v/>
      </c>
      <c r="M268">
        <f>IF(B268="","",IF(K268&lt;&gt;"","Shipped",IF(F268&lt;&gt;"","Ordered, awaiting tracking","NOT ORDERED")))</f>
        <v/>
      </c>
    </row>
    <row r="269">
      <c r="C269">
        <f>IF(B269="","",RIGHT(B269,7))</f>
        <v/>
      </c>
      <c r="L269">
        <f>IF(OR(A269="",K269=""),"",K269-A269)</f>
        <v/>
      </c>
      <c r="M269">
        <f>IF(B269="","",IF(K269&lt;&gt;"","Shipped",IF(F269&lt;&gt;"","Ordered, awaiting tracking","NOT ORDERED")))</f>
        <v/>
      </c>
    </row>
    <row r="270">
      <c r="C270">
        <f>IF(B270="","",RIGHT(B270,7))</f>
        <v/>
      </c>
      <c r="L270">
        <f>IF(OR(A270="",K270=""),"",K270-A270)</f>
        <v/>
      </c>
      <c r="M270">
        <f>IF(B270="","",IF(K270&lt;&gt;"","Shipped",IF(F270&lt;&gt;"","Ordered, awaiting tracking","NOT ORDERED")))</f>
        <v/>
      </c>
    </row>
    <row r="271">
      <c r="C271">
        <f>IF(B271="","",RIGHT(B271,7))</f>
        <v/>
      </c>
      <c r="L271">
        <f>IF(OR(A271="",K271=""),"",K271-A271)</f>
        <v/>
      </c>
      <c r="M271">
        <f>IF(B271="","",IF(K271&lt;&gt;"","Shipped",IF(F271&lt;&gt;"","Ordered, awaiting tracking","NOT ORDERED")))</f>
        <v/>
      </c>
    </row>
    <row r="272">
      <c r="C272">
        <f>IF(B272="","",RIGHT(B272,7))</f>
        <v/>
      </c>
      <c r="L272">
        <f>IF(OR(A272="",K272=""),"",K272-A272)</f>
        <v/>
      </c>
      <c r="M272">
        <f>IF(B272="","",IF(K272&lt;&gt;"","Shipped",IF(F272&lt;&gt;"","Ordered, awaiting tracking","NOT ORDERED")))</f>
        <v/>
      </c>
    </row>
    <row r="273">
      <c r="C273">
        <f>IF(B273="","",RIGHT(B273,7))</f>
        <v/>
      </c>
      <c r="L273">
        <f>IF(OR(A273="",K273=""),"",K273-A273)</f>
        <v/>
      </c>
      <c r="M273">
        <f>IF(B273="","",IF(K273&lt;&gt;"","Shipped",IF(F273&lt;&gt;"","Ordered, awaiting tracking","NOT ORDERED")))</f>
        <v/>
      </c>
    </row>
    <row r="274">
      <c r="C274">
        <f>IF(B274="","",RIGHT(B274,7))</f>
        <v/>
      </c>
      <c r="L274">
        <f>IF(OR(A274="",K274=""),"",K274-A274)</f>
        <v/>
      </c>
      <c r="M274">
        <f>IF(B274="","",IF(K274&lt;&gt;"","Shipped",IF(F274&lt;&gt;"","Ordered, awaiting tracking","NOT ORDERED")))</f>
        <v/>
      </c>
    </row>
    <row r="275">
      <c r="C275">
        <f>IF(B275="","",RIGHT(B275,7))</f>
        <v/>
      </c>
      <c r="L275">
        <f>IF(OR(A275="",K275=""),"",K275-A275)</f>
        <v/>
      </c>
      <c r="M275">
        <f>IF(B275="","",IF(K275&lt;&gt;"","Shipped",IF(F275&lt;&gt;"","Ordered, awaiting tracking","NOT ORDERED")))</f>
        <v/>
      </c>
    </row>
    <row r="276">
      <c r="C276">
        <f>IF(B276="","",RIGHT(B276,7))</f>
        <v/>
      </c>
      <c r="L276">
        <f>IF(OR(A276="",K276=""),"",K276-A276)</f>
        <v/>
      </c>
      <c r="M276">
        <f>IF(B276="","",IF(K276&lt;&gt;"","Shipped",IF(F276&lt;&gt;"","Ordered, awaiting tracking","NOT ORDERED")))</f>
        <v/>
      </c>
    </row>
    <row r="277">
      <c r="C277">
        <f>IF(B277="","",RIGHT(B277,7))</f>
        <v/>
      </c>
      <c r="L277">
        <f>IF(OR(A277="",K277=""),"",K277-A277)</f>
        <v/>
      </c>
      <c r="M277">
        <f>IF(B277="","",IF(K277&lt;&gt;"","Shipped",IF(F277&lt;&gt;"","Ordered, awaiting tracking","NOT ORDERED")))</f>
        <v/>
      </c>
    </row>
    <row r="278">
      <c r="C278">
        <f>IF(B278="","",RIGHT(B278,7))</f>
        <v/>
      </c>
      <c r="L278">
        <f>IF(OR(A278="",K278=""),"",K278-A278)</f>
        <v/>
      </c>
      <c r="M278">
        <f>IF(B278="","",IF(K278&lt;&gt;"","Shipped",IF(F278&lt;&gt;"","Ordered, awaiting tracking","NOT ORDERED")))</f>
        <v/>
      </c>
    </row>
    <row r="279">
      <c r="C279">
        <f>IF(B279="","",RIGHT(B279,7))</f>
        <v/>
      </c>
      <c r="L279">
        <f>IF(OR(A279="",K279=""),"",K279-A279)</f>
        <v/>
      </c>
      <c r="M279">
        <f>IF(B279="","",IF(K279&lt;&gt;"","Shipped",IF(F279&lt;&gt;"","Ordered, awaiting tracking","NOT ORDERED")))</f>
        <v/>
      </c>
    </row>
    <row r="280">
      <c r="C280">
        <f>IF(B280="","",RIGHT(B280,7))</f>
        <v/>
      </c>
      <c r="L280">
        <f>IF(OR(A280="",K280=""),"",K280-A280)</f>
        <v/>
      </c>
      <c r="M280">
        <f>IF(B280="","",IF(K280&lt;&gt;"","Shipped",IF(F280&lt;&gt;"","Ordered, awaiting tracking","NOT ORDERED")))</f>
        <v/>
      </c>
    </row>
    <row r="281">
      <c r="C281">
        <f>IF(B281="","",RIGHT(B281,7))</f>
        <v/>
      </c>
      <c r="L281">
        <f>IF(OR(A281="",K281=""),"",K281-A281)</f>
        <v/>
      </c>
      <c r="M281">
        <f>IF(B281="","",IF(K281&lt;&gt;"","Shipped",IF(F281&lt;&gt;"","Ordered, awaiting tracking","NOT ORDERED")))</f>
        <v/>
      </c>
    </row>
    <row r="282">
      <c r="C282">
        <f>IF(B282="","",RIGHT(B282,7))</f>
        <v/>
      </c>
      <c r="L282">
        <f>IF(OR(A282="",K282=""),"",K282-A282)</f>
        <v/>
      </c>
      <c r="M282">
        <f>IF(B282="","",IF(K282&lt;&gt;"","Shipped",IF(F282&lt;&gt;"","Ordered, awaiting tracking","NOT ORDERED")))</f>
        <v/>
      </c>
    </row>
    <row r="283">
      <c r="C283">
        <f>IF(B283="","",RIGHT(B283,7))</f>
        <v/>
      </c>
      <c r="L283">
        <f>IF(OR(A283="",K283=""),"",K283-A283)</f>
        <v/>
      </c>
      <c r="M283">
        <f>IF(B283="","",IF(K283&lt;&gt;"","Shipped",IF(F283&lt;&gt;"","Ordered, awaiting tracking","NOT ORDERED")))</f>
        <v/>
      </c>
    </row>
    <row r="284">
      <c r="C284">
        <f>IF(B284="","",RIGHT(B284,7))</f>
        <v/>
      </c>
      <c r="L284">
        <f>IF(OR(A284="",K284=""),"",K284-A284)</f>
        <v/>
      </c>
      <c r="M284">
        <f>IF(B284="","",IF(K284&lt;&gt;"","Shipped",IF(F284&lt;&gt;"","Ordered, awaiting tracking","NOT ORDERED")))</f>
        <v/>
      </c>
    </row>
    <row r="285">
      <c r="C285">
        <f>IF(B285="","",RIGHT(B285,7))</f>
        <v/>
      </c>
      <c r="L285">
        <f>IF(OR(A285="",K285=""),"",K285-A285)</f>
        <v/>
      </c>
      <c r="M285">
        <f>IF(B285="","",IF(K285&lt;&gt;"","Shipped",IF(F285&lt;&gt;"","Ordered, awaiting tracking","NOT ORDERED")))</f>
        <v/>
      </c>
    </row>
    <row r="286">
      <c r="C286">
        <f>IF(B286="","",RIGHT(B286,7))</f>
        <v/>
      </c>
      <c r="L286">
        <f>IF(OR(A286="",K286=""),"",K286-A286)</f>
        <v/>
      </c>
      <c r="M286">
        <f>IF(B286="","",IF(K286&lt;&gt;"","Shipped",IF(F286&lt;&gt;"","Ordered, awaiting tracking","NOT ORDERED")))</f>
        <v/>
      </c>
    </row>
    <row r="287">
      <c r="C287">
        <f>IF(B287="","",RIGHT(B287,7))</f>
        <v/>
      </c>
      <c r="L287">
        <f>IF(OR(A287="",K287=""),"",K287-A287)</f>
        <v/>
      </c>
      <c r="M287">
        <f>IF(B287="","",IF(K287&lt;&gt;"","Shipped",IF(F287&lt;&gt;"","Ordered, awaiting tracking","NOT ORDERED")))</f>
        <v/>
      </c>
    </row>
    <row r="288">
      <c r="C288">
        <f>IF(B288="","",RIGHT(B288,7))</f>
        <v/>
      </c>
      <c r="L288">
        <f>IF(OR(A288="",K288=""),"",K288-A288)</f>
        <v/>
      </c>
      <c r="M288">
        <f>IF(B288="","",IF(K288&lt;&gt;"","Shipped",IF(F288&lt;&gt;"","Ordered, awaiting tracking","NOT ORDERED")))</f>
        <v/>
      </c>
    </row>
    <row r="289">
      <c r="C289">
        <f>IF(B289="","",RIGHT(B289,7))</f>
        <v/>
      </c>
      <c r="L289">
        <f>IF(OR(A289="",K289=""),"",K289-A289)</f>
        <v/>
      </c>
      <c r="M289">
        <f>IF(B289="","",IF(K289&lt;&gt;"","Shipped",IF(F289&lt;&gt;"","Ordered, awaiting tracking","NOT ORDERED")))</f>
        <v/>
      </c>
    </row>
    <row r="290">
      <c r="C290">
        <f>IF(B290="","",RIGHT(B290,7))</f>
        <v/>
      </c>
      <c r="L290">
        <f>IF(OR(A290="",K290=""),"",K290-A290)</f>
        <v/>
      </c>
      <c r="M290">
        <f>IF(B290="","",IF(K290&lt;&gt;"","Shipped",IF(F290&lt;&gt;"","Ordered, awaiting tracking","NOT ORDERED")))</f>
        <v/>
      </c>
    </row>
    <row r="291">
      <c r="C291">
        <f>IF(B291="","",RIGHT(B291,7))</f>
        <v/>
      </c>
      <c r="L291">
        <f>IF(OR(A291="",K291=""),"",K291-A291)</f>
        <v/>
      </c>
      <c r="M291">
        <f>IF(B291="","",IF(K291&lt;&gt;"","Shipped",IF(F291&lt;&gt;"","Ordered, awaiting tracking","NOT ORDERED")))</f>
        <v/>
      </c>
    </row>
    <row r="292">
      <c r="C292">
        <f>IF(B292="","",RIGHT(B292,7))</f>
        <v/>
      </c>
      <c r="L292">
        <f>IF(OR(A292="",K292=""),"",K292-A292)</f>
        <v/>
      </c>
      <c r="M292">
        <f>IF(B292="","",IF(K292&lt;&gt;"","Shipped",IF(F292&lt;&gt;"","Ordered, awaiting tracking","NOT ORDERED")))</f>
        <v/>
      </c>
    </row>
    <row r="293">
      <c r="C293">
        <f>IF(B293="","",RIGHT(B293,7))</f>
        <v/>
      </c>
      <c r="L293">
        <f>IF(OR(A293="",K293=""),"",K293-A293)</f>
        <v/>
      </c>
      <c r="M293">
        <f>IF(B293="","",IF(K293&lt;&gt;"","Shipped",IF(F293&lt;&gt;"","Ordered, awaiting tracking","NOT ORDERED")))</f>
        <v/>
      </c>
    </row>
    <row r="294">
      <c r="C294">
        <f>IF(B294="","",RIGHT(B294,7))</f>
        <v/>
      </c>
      <c r="L294">
        <f>IF(OR(A294="",K294=""),"",K294-A294)</f>
        <v/>
      </c>
      <c r="M294">
        <f>IF(B294="","",IF(K294&lt;&gt;"","Shipped",IF(F294&lt;&gt;"","Ordered, awaiting tracking","NOT ORDERED")))</f>
        <v/>
      </c>
    </row>
    <row r="295">
      <c r="C295">
        <f>IF(B295="","",RIGHT(B295,7))</f>
        <v/>
      </c>
      <c r="L295">
        <f>IF(OR(A295="",K295=""),"",K295-A295)</f>
        <v/>
      </c>
      <c r="M295">
        <f>IF(B295="","",IF(K295&lt;&gt;"","Shipped",IF(F295&lt;&gt;"","Ordered, awaiting tracking","NOT ORDERED")))</f>
        <v/>
      </c>
    </row>
    <row r="296">
      <c r="C296">
        <f>IF(B296="","",RIGHT(B296,7))</f>
        <v/>
      </c>
      <c r="L296">
        <f>IF(OR(A296="",K296=""),"",K296-A296)</f>
        <v/>
      </c>
      <c r="M296">
        <f>IF(B296="","",IF(K296&lt;&gt;"","Shipped",IF(F296&lt;&gt;"","Ordered, awaiting tracking","NOT ORDERED")))</f>
        <v/>
      </c>
    </row>
    <row r="297">
      <c r="C297">
        <f>IF(B297="","",RIGHT(B297,7))</f>
        <v/>
      </c>
      <c r="L297">
        <f>IF(OR(A297="",K297=""),"",K297-A297)</f>
        <v/>
      </c>
      <c r="M297">
        <f>IF(B297="","",IF(K297&lt;&gt;"","Shipped",IF(F297&lt;&gt;"","Ordered, awaiting tracking","NOT ORDERED")))</f>
        <v/>
      </c>
    </row>
    <row r="298">
      <c r="C298">
        <f>IF(B298="","",RIGHT(B298,7))</f>
        <v/>
      </c>
      <c r="L298">
        <f>IF(OR(A298="",K298=""),"",K298-A298)</f>
        <v/>
      </c>
      <c r="M298">
        <f>IF(B298="","",IF(K298&lt;&gt;"","Shipped",IF(F298&lt;&gt;"","Ordered, awaiting tracking","NOT ORDERED")))</f>
        <v/>
      </c>
    </row>
    <row r="299">
      <c r="C299">
        <f>IF(B299="","",RIGHT(B299,7))</f>
        <v/>
      </c>
      <c r="L299">
        <f>IF(OR(A299="",K299=""),"",K299-A299)</f>
        <v/>
      </c>
      <c r="M299">
        <f>IF(B299="","",IF(K299&lt;&gt;"","Shipped",IF(F299&lt;&gt;"","Ordered, awaiting tracking","NOT ORDERED")))</f>
        <v/>
      </c>
    </row>
    <row r="300">
      <c r="C300">
        <f>IF(B300="","",RIGHT(B300,7))</f>
        <v/>
      </c>
      <c r="L300">
        <f>IF(OR(A300="",K300=""),"",K300-A300)</f>
        <v/>
      </c>
      <c r="M300">
        <f>IF(B300="","",IF(K300&lt;&gt;"","Shipped",IF(F300&lt;&gt;"","Ordered, awaiting tracking","NOT ORDERED")))</f>
        <v/>
      </c>
    </row>
    <row r="301">
      <c r="C301">
        <f>IF(B301="","",RIGHT(B301,7))</f>
        <v/>
      </c>
      <c r="L301">
        <f>IF(OR(A301="",K301=""),"",K301-A301)</f>
        <v/>
      </c>
      <c r="M301">
        <f>IF(B301="","",IF(K301&lt;&gt;"","Shipped",IF(F301&lt;&gt;"","Ordered, awaiting tracking","NOT ORDERED")))</f>
        <v/>
      </c>
    </row>
    <row r="302">
      <c r="C302">
        <f>IF(B302="","",RIGHT(B302,7))</f>
        <v/>
      </c>
      <c r="L302">
        <f>IF(OR(A302="",K302=""),"",K302-A302)</f>
        <v/>
      </c>
      <c r="M302">
        <f>IF(B302="","",IF(K302&lt;&gt;"","Shipped",IF(F302&lt;&gt;"","Ordered, awaiting tracking","NOT ORDERED")))</f>
        <v/>
      </c>
    </row>
    <row r="303">
      <c r="C303">
        <f>IF(B303="","",RIGHT(B303,7))</f>
        <v/>
      </c>
      <c r="L303">
        <f>IF(OR(A303="",K303=""),"",K303-A303)</f>
        <v/>
      </c>
      <c r="M303">
        <f>IF(B303="","",IF(K303&lt;&gt;"","Shipped",IF(F303&lt;&gt;"","Ordered, awaiting tracking","NOT ORDERED")))</f>
        <v/>
      </c>
    </row>
    <row r="304">
      <c r="C304">
        <f>IF(B304="","",RIGHT(B304,7))</f>
        <v/>
      </c>
      <c r="L304">
        <f>IF(OR(A304="",K304=""),"",K304-A304)</f>
        <v/>
      </c>
      <c r="M304">
        <f>IF(B304="","",IF(K304&lt;&gt;"","Shipped",IF(F304&lt;&gt;"","Ordered, awaiting tracking","NOT ORDERED")))</f>
        <v/>
      </c>
    </row>
    <row r="305">
      <c r="C305">
        <f>IF(B305="","",RIGHT(B305,7))</f>
        <v/>
      </c>
      <c r="L305">
        <f>IF(OR(A305="",K305=""),"",K305-A305)</f>
        <v/>
      </c>
      <c r="M305">
        <f>IF(B305="","",IF(K305&lt;&gt;"","Shipped",IF(F305&lt;&gt;"","Ordered, awaiting tracking","NOT ORDERED")))</f>
        <v/>
      </c>
    </row>
    <row r="306">
      <c r="C306">
        <f>IF(B306="","",RIGHT(B306,7))</f>
        <v/>
      </c>
      <c r="L306">
        <f>IF(OR(A306="",K306=""),"",K306-A306)</f>
        <v/>
      </c>
      <c r="M306">
        <f>IF(B306="","",IF(K306&lt;&gt;"","Shipped",IF(F306&lt;&gt;"","Ordered, awaiting tracking","NOT ORDERED")))</f>
        <v/>
      </c>
    </row>
    <row r="307">
      <c r="C307">
        <f>IF(B307="","",RIGHT(B307,7))</f>
        <v/>
      </c>
      <c r="L307">
        <f>IF(OR(A307="",K307=""),"",K307-A307)</f>
        <v/>
      </c>
      <c r="M307">
        <f>IF(B307="","",IF(K307&lt;&gt;"","Shipped",IF(F307&lt;&gt;"","Ordered, awaiting tracking","NOT ORDERED")))</f>
        <v/>
      </c>
    </row>
    <row r="308">
      <c r="C308">
        <f>IF(B308="","",RIGHT(B308,7))</f>
        <v/>
      </c>
      <c r="L308">
        <f>IF(OR(A308="",K308=""),"",K308-A308)</f>
        <v/>
      </c>
      <c r="M308">
        <f>IF(B308="","",IF(K308&lt;&gt;"","Shipped",IF(F308&lt;&gt;"","Ordered, awaiting tracking","NOT ORDERED")))</f>
        <v/>
      </c>
    </row>
    <row r="309">
      <c r="C309">
        <f>IF(B309="","",RIGHT(B309,7))</f>
        <v/>
      </c>
      <c r="L309">
        <f>IF(OR(A309="",K309=""),"",K309-A309)</f>
        <v/>
      </c>
      <c r="M309">
        <f>IF(B309="","",IF(K309&lt;&gt;"","Shipped",IF(F309&lt;&gt;"","Ordered, awaiting tracking","NOT ORDERED")))</f>
        <v/>
      </c>
    </row>
    <row r="310">
      <c r="C310">
        <f>IF(B310="","",RIGHT(B310,7))</f>
        <v/>
      </c>
      <c r="L310">
        <f>IF(OR(A310="",K310=""),"",K310-A310)</f>
        <v/>
      </c>
      <c r="M310">
        <f>IF(B310="","",IF(K310&lt;&gt;"","Shipped",IF(F310&lt;&gt;"","Ordered, awaiting tracking","NOT ORDERED")))</f>
        <v/>
      </c>
    </row>
    <row r="311">
      <c r="C311">
        <f>IF(B311="","",RIGHT(B311,7))</f>
        <v/>
      </c>
      <c r="L311">
        <f>IF(OR(A311="",K311=""),"",K311-A311)</f>
        <v/>
      </c>
      <c r="M311">
        <f>IF(B311="","",IF(K311&lt;&gt;"","Shipped",IF(F311&lt;&gt;"","Ordered, awaiting tracking","NOT ORDERED")))</f>
        <v/>
      </c>
    </row>
    <row r="312">
      <c r="C312">
        <f>IF(B312="","",RIGHT(B312,7))</f>
        <v/>
      </c>
      <c r="L312">
        <f>IF(OR(A312="",K312=""),"",K312-A312)</f>
        <v/>
      </c>
      <c r="M312">
        <f>IF(B312="","",IF(K312&lt;&gt;"","Shipped",IF(F312&lt;&gt;"","Ordered, awaiting tracking","NOT ORDERED")))</f>
        <v/>
      </c>
    </row>
    <row r="313">
      <c r="C313">
        <f>IF(B313="","",RIGHT(B313,7))</f>
        <v/>
      </c>
      <c r="L313">
        <f>IF(OR(A313="",K313=""),"",K313-A313)</f>
        <v/>
      </c>
      <c r="M313">
        <f>IF(B313="","",IF(K313&lt;&gt;"","Shipped",IF(F313&lt;&gt;"","Ordered, awaiting tracking","NOT ORDERED")))</f>
        <v/>
      </c>
    </row>
    <row r="314">
      <c r="C314">
        <f>IF(B314="","",RIGHT(B314,7))</f>
        <v/>
      </c>
      <c r="L314">
        <f>IF(OR(A314="",K314=""),"",K314-A314)</f>
        <v/>
      </c>
      <c r="M314">
        <f>IF(B314="","",IF(K314&lt;&gt;"","Shipped",IF(F314&lt;&gt;"","Ordered, awaiting tracking","NOT ORDERED")))</f>
        <v/>
      </c>
    </row>
    <row r="315">
      <c r="C315">
        <f>IF(B315="","",RIGHT(B315,7))</f>
        <v/>
      </c>
      <c r="L315">
        <f>IF(OR(A315="",K315=""),"",K315-A315)</f>
        <v/>
      </c>
      <c r="M315">
        <f>IF(B315="","",IF(K315&lt;&gt;"","Shipped",IF(F315&lt;&gt;"","Ordered, awaiting tracking","NOT ORDERED")))</f>
        <v/>
      </c>
    </row>
    <row r="316">
      <c r="C316">
        <f>IF(B316="","",RIGHT(B316,7))</f>
        <v/>
      </c>
      <c r="L316">
        <f>IF(OR(A316="",K316=""),"",K316-A316)</f>
        <v/>
      </c>
      <c r="M316">
        <f>IF(B316="","",IF(K316&lt;&gt;"","Shipped",IF(F316&lt;&gt;"","Ordered, awaiting tracking","NOT ORDERED")))</f>
        <v/>
      </c>
    </row>
    <row r="317">
      <c r="C317">
        <f>IF(B317="","",RIGHT(B317,7))</f>
        <v/>
      </c>
      <c r="L317">
        <f>IF(OR(A317="",K317=""),"",K317-A317)</f>
        <v/>
      </c>
      <c r="M317">
        <f>IF(B317="","",IF(K317&lt;&gt;"","Shipped",IF(F317&lt;&gt;"","Ordered, awaiting tracking","NOT ORDERED")))</f>
        <v/>
      </c>
    </row>
    <row r="318">
      <c r="C318">
        <f>IF(B318="","",RIGHT(B318,7))</f>
        <v/>
      </c>
      <c r="L318">
        <f>IF(OR(A318="",K318=""),"",K318-A318)</f>
        <v/>
      </c>
      <c r="M318">
        <f>IF(B318="","",IF(K318&lt;&gt;"","Shipped",IF(F318&lt;&gt;"","Ordered, awaiting tracking","NOT ORDERED")))</f>
        <v/>
      </c>
    </row>
    <row r="319">
      <c r="C319">
        <f>IF(B319="","",RIGHT(B319,7))</f>
        <v/>
      </c>
      <c r="L319">
        <f>IF(OR(A319="",K319=""),"",K319-A319)</f>
        <v/>
      </c>
      <c r="M319">
        <f>IF(B319="","",IF(K319&lt;&gt;"","Shipped",IF(F319&lt;&gt;"","Ordered, awaiting tracking","NOT ORDERED")))</f>
        <v/>
      </c>
    </row>
    <row r="320">
      <c r="C320">
        <f>IF(B320="","",RIGHT(B320,7))</f>
        <v/>
      </c>
      <c r="L320">
        <f>IF(OR(A320="",K320=""),"",K320-A320)</f>
        <v/>
      </c>
      <c r="M320">
        <f>IF(B320="","",IF(K320&lt;&gt;"","Shipped",IF(F320&lt;&gt;"","Ordered, awaiting tracking","NOT ORDERED")))</f>
        <v/>
      </c>
    </row>
    <row r="321">
      <c r="C321">
        <f>IF(B321="","",RIGHT(B321,7))</f>
        <v/>
      </c>
      <c r="L321">
        <f>IF(OR(A321="",K321=""),"",K321-A321)</f>
        <v/>
      </c>
      <c r="M321">
        <f>IF(B321="","",IF(K321&lt;&gt;"","Shipped",IF(F321&lt;&gt;"","Ordered, awaiting tracking","NOT ORDERED")))</f>
        <v/>
      </c>
    </row>
    <row r="322">
      <c r="C322">
        <f>IF(B322="","",RIGHT(B322,7))</f>
        <v/>
      </c>
      <c r="L322">
        <f>IF(OR(A322="",K322=""),"",K322-A322)</f>
        <v/>
      </c>
      <c r="M322">
        <f>IF(B322="","",IF(K322&lt;&gt;"","Shipped",IF(F322&lt;&gt;"","Ordered, awaiting tracking","NOT ORDERED")))</f>
        <v/>
      </c>
    </row>
    <row r="323">
      <c r="C323">
        <f>IF(B323="","",RIGHT(B323,7))</f>
        <v/>
      </c>
      <c r="L323">
        <f>IF(OR(A323="",K323=""),"",K323-A323)</f>
        <v/>
      </c>
      <c r="M323">
        <f>IF(B323="","",IF(K323&lt;&gt;"","Shipped",IF(F323&lt;&gt;"","Ordered, awaiting tracking","NOT ORDERED")))</f>
        <v/>
      </c>
    </row>
    <row r="324">
      <c r="C324">
        <f>IF(B324="","",RIGHT(B324,7))</f>
        <v/>
      </c>
      <c r="L324">
        <f>IF(OR(A324="",K324=""),"",K324-A324)</f>
        <v/>
      </c>
      <c r="M324">
        <f>IF(B324="","",IF(K324&lt;&gt;"","Shipped",IF(F324&lt;&gt;"","Ordered, awaiting tracking","NOT ORDERED")))</f>
        <v/>
      </c>
    </row>
    <row r="325">
      <c r="C325">
        <f>IF(B325="","",RIGHT(B325,7))</f>
        <v/>
      </c>
      <c r="L325">
        <f>IF(OR(A325="",K325=""),"",K325-A325)</f>
        <v/>
      </c>
      <c r="M325">
        <f>IF(B325="","",IF(K325&lt;&gt;"","Shipped",IF(F325&lt;&gt;"","Ordered, awaiting tracking","NOT ORDERED")))</f>
        <v/>
      </c>
    </row>
    <row r="326">
      <c r="C326">
        <f>IF(B326="","",RIGHT(B326,7))</f>
        <v/>
      </c>
      <c r="L326">
        <f>IF(OR(A326="",K326=""),"",K326-A326)</f>
        <v/>
      </c>
      <c r="M326">
        <f>IF(B326="","",IF(K326&lt;&gt;"","Shipped",IF(F326&lt;&gt;"","Ordered, awaiting tracking","NOT ORDERED")))</f>
        <v/>
      </c>
    </row>
    <row r="327">
      <c r="C327">
        <f>IF(B327="","",RIGHT(B327,7))</f>
        <v/>
      </c>
      <c r="L327">
        <f>IF(OR(A327="",K327=""),"",K327-A327)</f>
        <v/>
      </c>
      <c r="M327">
        <f>IF(B327="","",IF(K327&lt;&gt;"","Shipped",IF(F327&lt;&gt;"","Ordered, awaiting tracking","NOT ORDERED")))</f>
        <v/>
      </c>
    </row>
    <row r="328">
      <c r="C328">
        <f>IF(B328="","",RIGHT(B328,7))</f>
        <v/>
      </c>
      <c r="L328">
        <f>IF(OR(A328="",K328=""),"",K328-A328)</f>
        <v/>
      </c>
      <c r="M328">
        <f>IF(B328="","",IF(K328&lt;&gt;"","Shipped",IF(F328&lt;&gt;"","Ordered, awaiting tracking","NOT ORDERED")))</f>
        <v/>
      </c>
    </row>
    <row r="329">
      <c r="C329">
        <f>IF(B329="","",RIGHT(B329,7))</f>
        <v/>
      </c>
      <c r="L329">
        <f>IF(OR(A329="",K329=""),"",K329-A329)</f>
        <v/>
      </c>
      <c r="M329">
        <f>IF(B329="","",IF(K329&lt;&gt;"","Shipped",IF(F329&lt;&gt;"","Ordered, awaiting tracking","NOT ORDERED")))</f>
        <v/>
      </c>
    </row>
    <row r="330">
      <c r="C330">
        <f>IF(B330="","",RIGHT(B330,7))</f>
        <v/>
      </c>
      <c r="L330">
        <f>IF(OR(A330="",K330=""),"",K330-A330)</f>
        <v/>
      </c>
      <c r="M330">
        <f>IF(B330="","",IF(K330&lt;&gt;"","Shipped",IF(F330&lt;&gt;"","Ordered, awaiting tracking","NOT ORDERED")))</f>
        <v/>
      </c>
    </row>
    <row r="331">
      <c r="C331">
        <f>IF(B331="","",RIGHT(B331,7))</f>
        <v/>
      </c>
      <c r="L331">
        <f>IF(OR(A331="",K331=""),"",K331-A331)</f>
        <v/>
      </c>
      <c r="M331">
        <f>IF(B331="","",IF(K331&lt;&gt;"","Shipped",IF(F331&lt;&gt;"","Ordered, awaiting tracking","NOT ORDERED")))</f>
        <v/>
      </c>
    </row>
    <row r="332">
      <c r="C332">
        <f>IF(B332="","",RIGHT(B332,7))</f>
        <v/>
      </c>
      <c r="L332">
        <f>IF(OR(A332="",K332=""),"",K332-A332)</f>
        <v/>
      </c>
      <c r="M332">
        <f>IF(B332="","",IF(K332&lt;&gt;"","Shipped",IF(F332&lt;&gt;"","Ordered, awaiting tracking","NOT ORDERED")))</f>
        <v/>
      </c>
    </row>
    <row r="333">
      <c r="C333">
        <f>IF(B333="","",RIGHT(B333,7))</f>
        <v/>
      </c>
      <c r="L333">
        <f>IF(OR(A333="",K333=""),"",K333-A333)</f>
        <v/>
      </c>
      <c r="M333">
        <f>IF(B333="","",IF(K333&lt;&gt;"","Shipped",IF(F333&lt;&gt;"","Ordered, awaiting tracking","NOT ORDERED")))</f>
        <v/>
      </c>
    </row>
    <row r="334">
      <c r="C334">
        <f>IF(B334="","",RIGHT(B334,7))</f>
        <v/>
      </c>
      <c r="L334">
        <f>IF(OR(A334="",K334=""),"",K334-A334)</f>
        <v/>
      </c>
      <c r="M334">
        <f>IF(B334="","",IF(K334&lt;&gt;"","Shipped",IF(F334&lt;&gt;"","Ordered, awaiting tracking","NOT ORDERED")))</f>
        <v/>
      </c>
    </row>
    <row r="335">
      <c r="C335">
        <f>IF(B335="","",RIGHT(B335,7))</f>
        <v/>
      </c>
      <c r="L335">
        <f>IF(OR(A335="",K335=""),"",K335-A335)</f>
        <v/>
      </c>
      <c r="M335">
        <f>IF(B335="","",IF(K335&lt;&gt;"","Shipped",IF(F335&lt;&gt;"","Ordered, awaiting tracking","NOT ORDERED")))</f>
        <v/>
      </c>
    </row>
    <row r="336">
      <c r="C336">
        <f>IF(B336="","",RIGHT(B336,7))</f>
        <v/>
      </c>
      <c r="L336">
        <f>IF(OR(A336="",K336=""),"",K336-A336)</f>
        <v/>
      </c>
      <c r="M336">
        <f>IF(B336="","",IF(K336&lt;&gt;"","Shipped",IF(F336&lt;&gt;"","Ordered, awaiting tracking","NOT ORDERED")))</f>
        <v/>
      </c>
    </row>
    <row r="337">
      <c r="C337">
        <f>IF(B337="","",RIGHT(B337,7))</f>
        <v/>
      </c>
      <c r="L337">
        <f>IF(OR(A337="",K337=""),"",K337-A337)</f>
        <v/>
      </c>
      <c r="M337">
        <f>IF(B337="","",IF(K337&lt;&gt;"","Shipped",IF(F337&lt;&gt;"","Ordered, awaiting tracking","NOT ORDERED")))</f>
        <v/>
      </c>
    </row>
    <row r="338">
      <c r="C338">
        <f>IF(B338="","",RIGHT(B338,7))</f>
        <v/>
      </c>
      <c r="L338">
        <f>IF(OR(A338="",K338=""),"",K338-A338)</f>
        <v/>
      </c>
      <c r="M338">
        <f>IF(B338="","",IF(K338&lt;&gt;"","Shipped",IF(F338&lt;&gt;"","Ordered, awaiting tracking","NOT ORDERED")))</f>
        <v/>
      </c>
    </row>
    <row r="339">
      <c r="C339">
        <f>IF(B339="","",RIGHT(B339,7))</f>
        <v/>
      </c>
      <c r="L339">
        <f>IF(OR(A339="",K339=""),"",K339-A339)</f>
        <v/>
      </c>
      <c r="M339">
        <f>IF(B339="","",IF(K339&lt;&gt;"","Shipped",IF(F339&lt;&gt;"","Ordered, awaiting tracking","NOT ORDERED")))</f>
        <v/>
      </c>
    </row>
    <row r="340">
      <c r="C340">
        <f>IF(B340="","",RIGHT(B340,7))</f>
        <v/>
      </c>
      <c r="L340">
        <f>IF(OR(A340="",K340=""),"",K340-A340)</f>
        <v/>
      </c>
      <c r="M340">
        <f>IF(B340="","",IF(K340&lt;&gt;"","Shipped",IF(F340&lt;&gt;"","Ordered, awaiting tracking","NOT ORDERED")))</f>
        <v/>
      </c>
    </row>
    <row r="341">
      <c r="C341">
        <f>IF(B341="","",RIGHT(B341,7))</f>
        <v/>
      </c>
      <c r="L341">
        <f>IF(OR(A341="",K341=""),"",K341-A341)</f>
        <v/>
      </c>
      <c r="M341">
        <f>IF(B341="","",IF(K341&lt;&gt;"","Shipped",IF(F341&lt;&gt;"","Ordered, awaiting tracking","NOT ORDERED")))</f>
        <v/>
      </c>
    </row>
    <row r="342">
      <c r="C342">
        <f>IF(B342="","",RIGHT(B342,7))</f>
        <v/>
      </c>
      <c r="L342">
        <f>IF(OR(A342="",K342=""),"",K342-A342)</f>
        <v/>
      </c>
      <c r="M342">
        <f>IF(B342="","",IF(K342&lt;&gt;"","Shipped",IF(F342&lt;&gt;"","Ordered, awaiting tracking","NOT ORDERED")))</f>
        <v/>
      </c>
    </row>
    <row r="343">
      <c r="C343">
        <f>IF(B343="","",RIGHT(B343,7))</f>
        <v/>
      </c>
      <c r="L343">
        <f>IF(OR(A343="",K343=""),"",K343-A343)</f>
        <v/>
      </c>
      <c r="M343">
        <f>IF(B343="","",IF(K343&lt;&gt;"","Shipped",IF(F343&lt;&gt;"","Ordered, awaiting tracking","NOT ORDERED")))</f>
        <v/>
      </c>
    </row>
    <row r="344">
      <c r="C344">
        <f>IF(B344="","",RIGHT(B344,7))</f>
        <v/>
      </c>
      <c r="L344">
        <f>IF(OR(A344="",K344=""),"",K344-A344)</f>
        <v/>
      </c>
      <c r="M344">
        <f>IF(B344="","",IF(K344&lt;&gt;"","Shipped",IF(F344&lt;&gt;"","Ordered, awaiting tracking","NOT ORDERED")))</f>
        <v/>
      </c>
    </row>
    <row r="345">
      <c r="C345">
        <f>IF(B345="","",RIGHT(B345,7))</f>
        <v/>
      </c>
      <c r="L345">
        <f>IF(OR(A345="",K345=""),"",K345-A345)</f>
        <v/>
      </c>
      <c r="M345">
        <f>IF(B345="","",IF(K345&lt;&gt;"","Shipped",IF(F345&lt;&gt;"","Ordered, awaiting tracking","NOT ORDERED")))</f>
        <v/>
      </c>
    </row>
    <row r="346">
      <c r="C346">
        <f>IF(B346="","",RIGHT(B346,7))</f>
        <v/>
      </c>
      <c r="L346">
        <f>IF(OR(A346="",K346=""),"",K346-A346)</f>
        <v/>
      </c>
      <c r="M346">
        <f>IF(B346="","",IF(K346&lt;&gt;"","Shipped",IF(F346&lt;&gt;"","Ordered, awaiting tracking","NOT ORDERED")))</f>
        <v/>
      </c>
    </row>
    <row r="347">
      <c r="C347">
        <f>IF(B347="","",RIGHT(B347,7))</f>
        <v/>
      </c>
      <c r="L347">
        <f>IF(OR(A347="",K347=""),"",K347-A347)</f>
        <v/>
      </c>
      <c r="M347">
        <f>IF(B347="","",IF(K347&lt;&gt;"","Shipped",IF(F347&lt;&gt;"","Ordered, awaiting tracking","NOT ORDERED")))</f>
        <v/>
      </c>
    </row>
    <row r="348">
      <c r="C348">
        <f>IF(B348="","",RIGHT(B348,7))</f>
        <v/>
      </c>
      <c r="L348">
        <f>IF(OR(A348="",K348=""),"",K348-A348)</f>
        <v/>
      </c>
      <c r="M348">
        <f>IF(B348="","",IF(K348&lt;&gt;"","Shipped",IF(F348&lt;&gt;"","Ordered, awaiting tracking","NOT ORDERED")))</f>
        <v/>
      </c>
    </row>
    <row r="349">
      <c r="C349">
        <f>IF(B349="","",RIGHT(B349,7))</f>
        <v/>
      </c>
      <c r="L349">
        <f>IF(OR(A349="",K349=""),"",K349-A349)</f>
        <v/>
      </c>
      <c r="M349">
        <f>IF(B349="","",IF(K349&lt;&gt;"","Shipped",IF(F349&lt;&gt;"","Ordered, awaiting tracking","NOT ORDERED")))</f>
        <v/>
      </c>
    </row>
    <row r="350">
      <c r="C350">
        <f>IF(B350="","",RIGHT(B350,7))</f>
        <v/>
      </c>
      <c r="L350">
        <f>IF(OR(A350="",K350=""),"",K350-A350)</f>
        <v/>
      </c>
      <c r="M350">
        <f>IF(B350="","",IF(K350&lt;&gt;"","Shipped",IF(F350&lt;&gt;"","Ordered, awaiting tracking","NOT ORDERED")))</f>
        <v/>
      </c>
    </row>
    <row r="351">
      <c r="C351">
        <f>IF(B351="","",RIGHT(B351,7))</f>
        <v/>
      </c>
      <c r="L351">
        <f>IF(OR(A351="",K351=""),"",K351-A351)</f>
        <v/>
      </c>
      <c r="M351">
        <f>IF(B351="","",IF(K351&lt;&gt;"","Shipped",IF(F351&lt;&gt;"","Ordered, awaiting tracking","NOT ORDERED")))</f>
        <v/>
      </c>
    </row>
    <row r="352">
      <c r="C352">
        <f>IF(B352="","",RIGHT(B352,7))</f>
        <v/>
      </c>
      <c r="L352">
        <f>IF(OR(A352="",K352=""),"",K352-A352)</f>
        <v/>
      </c>
      <c r="M352">
        <f>IF(B352="","",IF(K352&lt;&gt;"","Shipped",IF(F352&lt;&gt;"","Ordered, awaiting tracking","NOT ORDERED")))</f>
        <v/>
      </c>
    </row>
    <row r="353">
      <c r="C353">
        <f>IF(B353="","",RIGHT(B353,7))</f>
        <v/>
      </c>
      <c r="L353">
        <f>IF(OR(A353="",K353=""),"",K353-A353)</f>
        <v/>
      </c>
      <c r="M353">
        <f>IF(B353="","",IF(K353&lt;&gt;"","Shipped",IF(F353&lt;&gt;"","Ordered, awaiting tracking","NOT ORDERED")))</f>
        <v/>
      </c>
    </row>
    <row r="354">
      <c r="C354">
        <f>IF(B354="","",RIGHT(B354,7))</f>
        <v/>
      </c>
      <c r="L354">
        <f>IF(OR(A354="",K354=""),"",K354-A354)</f>
        <v/>
      </c>
      <c r="M354">
        <f>IF(B354="","",IF(K354&lt;&gt;"","Shipped",IF(F354&lt;&gt;"","Ordered, awaiting tracking","NOT ORDERED")))</f>
        <v/>
      </c>
    </row>
    <row r="355">
      <c r="C355">
        <f>IF(B355="","",RIGHT(B355,7))</f>
        <v/>
      </c>
      <c r="L355">
        <f>IF(OR(A355="",K355=""),"",K355-A355)</f>
        <v/>
      </c>
      <c r="M355">
        <f>IF(B355="","",IF(K355&lt;&gt;"","Shipped",IF(F355&lt;&gt;"","Ordered, awaiting tracking","NOT ORDERED")))</f>
        <v/>
      </c>
    </row>
    <row r="356">
      <c r="C356">
        <f>IF(B356="","",RIGHT(B356,7))</f>
        <v/>
      </c>
      <c r="L356">
        <f>IF(OR(A356="",K356=""),"",K356-A356)</f>
        <v/>
      </c>
      <c r="M356">
        <f>IF(B356="","",IF(K356&lt;&gt;"","Shipped",IF(F356&lt;&gt;"","Ordered, awaiting tracking","NOT ORDERED")))</f>
        <v/>
      </c>
    </row>
    <row r="357">
      <c r="C357">
        <f>IF(B357="","",RIGHT(B357,7))</f>
        <v/>
      </c>
      <c r="L357">
        <f>IF(OR(A357="",K357=""),"",K357-A357)</f>
        <v/>
      </c>
      <c r="M357">
        <f>IF(B357="","",IF(K357&lt;&gt;"","Shipped",IF(F357&lt;&gt;"","Ordered, awaiting tracking","NOT ORDERED")))</f>
        <v/>
      </c>
    </row>
    <row r="358">
      <c r="C358">
        <f>IF(B358="","",RIGHT(B358,7))</f>
        <v/>
      </c>
      <c r="L358">
        <f>IF(OR(A358="",K358=""),"",K358-A358)</f>
        <v/>
      </c>
      <c r="M358">
        <f>IF(B358="","",IF(K358&lt;&gt;"","Shipped",IF(F358&lt;&gt;"","Ordered, awaiting tracking","NOT ORDERED")))</f>
        <v/>
      </c>
    </row>
    <row r="359">
      <c r="C359">
        <f>IF(B359="","",RIGHT(B359,7))</f>
        <v/>
      </c>
      <c r="L359">
        <f>IF(OR(A359="",K359=""),"",K359-A359)</f>
        <v/>
      </c>
      <c r="M359">
        <f>IF(B359="","",IF(K359&lt;&gt;"","Shipped",IF(F359&lt;&gt;"","Ordered, awaiting tracking","NOT ORDERED")))</f>
        <v/>
      </c>
    </row>
    <row r="360">
      <c r="C360">
        <f>IF(B360="","",RIGHT(B360,7))</f>
        <v/>
      </c>
      <c r="L360">
        <f>IF(OR(A360="",K360=""),"",K360-A360)</f>
        <v/>
      </c>
      <c r="M360">
        <f>IF(B360="","",IF(K360&lt;&gt;"","Shipped",IF(F360&lt;&gt;"","Ordered, awaiting tracking","NOT ORDERED")))</f>
        <v/>
      </c>
    </row>
    <row r="361">
      <c r="C361">
        <f>IF(B361="","",RIGHT(B361,7))</f>
        <v/>
      </c>
      <c r="L361">
        <f>IF(OR(A361="",K361=""),"",K361-A361)</f>
        <v/>
      </c>
      <c r="M361">
        <f>IF(B361="","",IF(K361&lt;&gt;"","Shipped",IF(F361&lt;&gt;"","Ordered, awaiting tracking","NOT ORDERED")))</f>
        <v/>
      </c>
    </row>
    <row r="362">
      <c r="C362">
        <f>IF(B362="","",RIGHT(B362,7))</f>
        <v/>
      </c>
      <c r="L362">
        <f>IF(OR(A362="",K362=""),"",K362-A362)</f>
        <v/>
      </c>
      <c r="M362">
        <f>IF(B362="","",IF(K362&lt;&gt;"","Shipped",IF(F362&lt;&gt;"","Ordered, awaiting tracking","NOT ORDERED")))</f>
        <v/>
      </c>
    </row>
    <row r="363">
      <c r="C363">
        <f>IF(B363="","",RIGHT(B363,7))</f>
        <v/>
      </c>
      <c r="L363">
        <f>IF(OR(A363="",K363=""),"",K363-A363)</f>
        <v/>
      </c>
      <c r="M363">
        <f>IF(B363="","",IF(K363&lt;&gt;"","Shipped",IF(F363&lt;&gt;"","Ordered, awaiting tracking","NOT ORDERED")))</f>
        <v/>
      </c>
    </row>
    <row r="364">
      <c r="C364">
        <f>IF(B364="","",RIGHT(B364,7))</f>
        <v/>
      </c>
      <c r="L364">
        <f>IF(OR(A364="",K364=""),"",K364-A364)</f>
        <v/>
      </c>
      <c r="M364">
        <f>IF(B364="","",IF(K364&lt;&gt;"","Shipped",IF(F364&lt;&gt;"","Ordered, awaiting tracking","NOT ORDERED")))</f>
        <v/>
      </c>
    </row>
    <row r="365">
      <c r="C365">
        <f>IF(B365="","",RIGHT(B365,7))</f>
        <v/>
      </c>
      <c r="L365">
        <f>IF(OR(A365="",K365=""),"",K365-A365)</f>
        <v/>
      </c>
      <c r="M365">
        <f>IF(B365="","",IF(K365&lt;&gt;"","Shipped",IF(F365&lt;&gt;"","Ordered, awaiting tracking","NOT ORDERED")))</f>
        <v/>
      </c>
    </row>
    <row r="366">
      <c r="C366">
        <f>IF(B366="","",RIGHT(B366,7))</f>
        <v/>
      </c>
      <c r="L366">
        <f>IF(OR(A366="",K366=""),"",K366-A366)</f>
        <v/>
      </c>
      <c r="M366">
        <f>IF(B366="","",IF(K366&lt;&gt;"","Shipped",IF(F366&lt;&gt;"","Ordered, awaiting tracking","NOT ORDERED")))</f>
        <v/>
      </c>
    </row>
    <row r="367">
      <c r="C367">
        <f>IF(B367="","",RIGHT(B367,7))</f>
        <v/>
      </c>
      <c r="L367">
        <f>IF(OR(A367="",K367=""),"",K367-A367)</f>
        <v/>
      </c>
      <c r="M367">
        <f>IF(B367="","",IF(K367&lt;&gt;"","Shipped",IF(F367&lt;&gt;"","Ordered, awaiting tracking","NOT ORDERED")))</f>
        <v/>
      </c>
    </row>
    <row r="368">
      <c r="C368">
        <f>IF(B368="","",RIGHT(B368,7))</f>
        <v/>
      </c>
      <c r="L368">
        <f>IF(OR(A368="",K368=""),"",K368-A368)</f>
        <v/>
      </c>
      <c r="M368">
        <f>IF(B368="","",IF(K368&lt;&gt;"","Shipped",IF(F368&lt;&gt;"","Ordered, awaiting tracking","NOT ORDERED")))</f>
        <v/>
      </c>
    </row>
    <row r="369">
      <c r="C369">
        <f>IF(B369="","",RIGHT(B369,7))</f>
        <v/>
      </c>
      <c r="L369">
        <f>IF(OR(A369="",K369=""),"",K369-A369)</f>
        <v/>
      </c>
      <c r="M369">
        <f>IF(B369="","",IF(K369&lt;&gt;"","Shipped",IF(F369&lt;&gt;"","Ordered, awaiting tracking","NOT ORDERED")))</f>
        <v/>
      </c>
    </row>
    <row r="370">
      <c r="C370">
        <f>IF(B370="","",RIGHT(B370,7))</f>
        <v/>
      </c>
      <c r="L370">
        <f>IF(OR(A370="",K370=""),"",K370-A370)</f>
        <v/>
      </c>
      <c r="M370">
        <f>IF(B370="","",IF(K370&lt;&gt;"","Shipped",IF(F370&lt;&gt;"","Ordered, awaiting tracking","NOT ORDERED")))</f>
        <v/>
      </c>
    </row>
    <row r="371">
      <c r="C371">
        <f>IF(B371="","",RIGHT(B371,7))</f>
        <v/>
      </c>
      <c r="L371">
        <f>IF(OR(A371="",K371=""),"",K371-A371)</f>
        <v/>
      </c>
      <c r="M371">
        <f>IF(B371="","",IF(K371&lt;&gt;"","Shipped",IF(F371&lt;&gt;"","Ordered, awaiting tracking","NOT ORDERED")))</f>
        <v/>
      </c>
    </row>
    <row r="372">
      <c r="C372">
        <f>IF(B372="","",RIGHT(B372,7))</f>
        <v/>
      </c>
      <c r="L372">
        <f>IF(OR(A372="",K372=""),"",K372-A372)</f>
        <v/>
      </c>
      <c r="M372">
        <f>IF(B372="","",IF(K372&lt;&gt;"","Shipped",IF(F372&lt;&gt;"","Ordered, awaiting tracking","NOT ORDERED")))</f>
        <v/>
      </c>
    </row>
    <row r="373">
      <c r="C373">
        <f>IF(B373="","",RIGHT(B373,7))</f>
        <v/>
      </c>
      <c r="L373">
        <f>IF(OR(A373="",K373=""),"",K373-A373)</f>
        <v/>
      </c>
      <c r="M373">
        <f>IF(B373="","",IF(K373&lt;&gt;"","Shipped",IF(F373&lt;&gt;"","Ordered, awaiting tracking","NOT ORDERED")))</f>
        <v/>
      </c>
    </row>
    <row r="374">
      <c r="C374">
        <f>IF(B374="","",RIGHT(B374,7))</f>
        <v/>
      </c>
      <c r="L374">
        <f>IF(OR(A374="",K374=""),"",K374-A374)</f>
        <v/>
      </c>
      <c r="M374">
        <f>IF(B374="","",IF(K374&lt;&gt;"","Shipped",IF(F374&lt;&gt;"","Ordered, awaiting tracking","NOT ORDERED")))</f>
        <v/>
      </c>
    </row>
    <row r="375">
      <c r="C375">
        <f>IF(B375="","",RIGHT(B375,7))</f>
        <v/>
      </c>
      <c r="L375">
        <f>IF(OR(A375="",K375=""),"",K375-A375)</f>
        <v/>
      </c>
      <c r="M375">
        <f>IF(B375="","",IF(K375&lt;&gt;"","Shipped",IF(F375&lt;&gt;"","Ordered, awaiting tracking","NOT ORDERED")))</f>
        <v/>
      </c>
    </row>
    <row r="376">
      <c r="C376">
        <f>IF(B376="","",RIGHT(B376,7))</f>
        <v/>
      </c>
      <c r="L376">
        <f>IF(OR(A376="",K376=""),"",K376-A376)</f>
        <v/>
      </c>
      <c r="M376">
        <f>IF(B376="","",IF(K376&lt;&gt;"","Shipped",IF(F376&lt;&gt;"","Ordered, awaiting tracking","NOT ORDERED")))</f>
        <v/>
      </c>
    </row>
    <row r="377">
      <c r="C377">
        <f>IF(B377="","",RIGHT(B377,7))</f>
        <v/>
      </c>
      <c r="L377">
        <f>IF(OR(A377="",K377=""),"",K377-A377)</f>
        <v/>
      </c>
      <c r="M377">
        <f>IF(B377="","",IF(K377&lt;&gt;"","Shipped",IF(F377&lt;&gt;"","Ordered, awaiting tracking","NOT ORDERED")))</f>
        <v/>
      </c>
    </row>
    <row r="378">
      <c r="C378">
        <f>IF(B378="","",RIGHT(B378,7))</f>
        <v/>
      </c>
      <c r="L378">
        <f>IF(OR(A378="",K378=""),"",K378-A378)</f>
        <v/>
      </c>
      <c r="M378">
        <f>IF(B378="","",IF(K378&lt;&gt;"","Shipped",IF(F378&lt;&gt;"","Ordered, awaiting tracking","NOT ORDERED")))</f>
        <v/>
      </c>
    </row>
    <row r="379">
      <c r="C379">
        <f>IF(B379="","",RIGHT(B379,7))</f>
        <v/>
      </c>
      <c r="L379">
        <f>IF(OR(A379="",K379=""),"",K379-A379)</f>
        <v/>
      </c>
      <c r="M379">
        <f>IF(B379="","",IF(K379&lt;&gt;"","Shipped",IF(F379&lt;&gt;"","Ordered, awaiting tracking","NOT ORDERED")))</f>
        <v/>
      </c>
    </row>
    <row r="380">
      <c r="C380">
        <f>IF(B380="","",RIGHT(B380,7))</f>
        <v/>
      </c>
      <c r="L380">
        <f>IF(OR(A380="",K380=""),"",K380-A380)</f>
        <v/>
      </c>
      <c r="M380">
        <f>IF(B380="","",IF(K380&lt;&gt;"","Shipped",IF(F380&lt;&gt;"","Ordered, awaiting tracking","NOT ORDERED")))</f>
        <v/>
      </c>
    </row>
    <row r="381">
      <c r="C381">
        <f>IF(B381="","",RIGHT(B381,7))</f>
        <v/>
      </c>
      <c r="L381">
        <f>IF(OR(A381="",K381=""),"",K381-A381)</f>
        <v/>
      </c>
      <c r="M381">
        <f>IF(B381="","",IF(K381&lt;&gt;"","Shipped",IF(F381&lt;&gt;"","Ordered, awaiting tracking","NOT ORDERED")))</f>
        <v/>
      </c>
    </row>
    <row r="382">
      <c r="C382">
        <f>IF(B382="","",RIGHT(B382,7))</f>
        <v/>
      </c>
      <c r="L382">
        <f>IF(OR(A382="",K382=""),"",K382-A382)</f>
        <v/>
      </c>
      <c r="M382">
        <f>IF(B382="","",IF(K382&lt;&gt;"","Shipped",IF(F382&lt;&gt;"","Ordered, awaiting tracking","NOT ORDERED")))</f>
        <v/>
      </c>
    </row>
    <row r="383">
      <c r="C383">
        <f>IF(B383="","",RIGHT(B383,7))</f>
        <v/>
      </c>
      <c r="L383">
        <f>IF(OR(A383="",K383=""),"",K383-A383)</f>
        <v/>
      </c>
      <c r="M383">
        <f>IF(B383="","",IF(K383&lt;&gt;"","Shipped",IF(F383&lt;&gt;"","Ordered, awaiting tracking","NOT ORDERED")))</f>
        <v/>
      </c>
    </row>
    <row r="384">
      <c r="C384">
        <f>IF(B384="","",RIGHT(B384,7))</f>
        <v/>
      </c>
      <c r="L384">
        <f>IF(OR(A384="",K384=""),"",K384-A384)</f>
        <v/>
      </c>
      <c r="M384">
        <f>IF(B384="","",IF(K384&lt;&gt;"","Shipped",IF(F384&lt;&gt;"","Ordered, awaiting tracking","NOT ORDERED")))</f>
        <v/>
      </c>
    </row>
    <row r="385">
      <c r="C385">
        <f>IF(B385="","",RIGHT(B385,7))</f>
        <v/>
      </c>
      <c r="L385">
        <f>IF(OR(A385="",K385=""),"",K385-A385)</f>
        <v/>
      </c>
      <c r="M385">
        <f>IF(B385="","",IF(K385&lt;&gt;"","Shipped",IF(F385&lt;&gt;"","Ordered, awaiting tracking","NOT ORDERED")))</f>
        <v/>
      </c>
    </row>
    <row r="386">
      <c r="C386">
        <f>IF(B386="","",RIGHT(B386,7))</f>
        <v/>
      </c>
      <c r="L386">
        <f>IF(OR(A386="",K386=""),"",K386-A386)</f>
        <v/>
      </c>
      <c r="M386">
        <f>IF(B386="","",IF(K386&lt;&gt;"","Shipped",IF(F386&lt;&gt;"","Ordered, awaiting tracking","NOT ORDERED")))</f>
        <v/>
      </c>
    </row>
    <row r="387">
      <c r="C387">
        <f>IF(B387="","",RIGHT(B387,7))</f>
        <v/>
      </c>
      <c r="L387">
        <f>IF(OR(A387="",K387=""),"",K387-A387)</f>
        <v/>
      </c>
      <c r="M387">
        <f>IF(B387="","",IF(K387&lt;&gt;"","Shipped",IF(F387&lt;&gt;"","Ordered, awaiting tracking","NOT ORDERED")))</f>
        <v/>
      </c>
    </row>
    <row r="388">
      <c r="C388">
        <f>IF(B388="","",RIGHT(B388,7))</f>
        <v/>
      </c>
      <c r="L388">
        <f>IF(OR(A388="",K388=""),"",K388-A388)</f>
        <v/>
      </c>
      <c r="M388">
        <f>IF(B388="","",IF(K388&lt;&gt;"","Shipped",IF(F388&lt;&gt;"","Ordered, awaiting tracking","NOT ORDERED")))</f>
        <v/>
      </c>
    </row>
    <row r="389">
      <c r="C389">
        <f>IF(B389="","",RIGHT(B389,7))</f>
        <v/>
      </c>
      <c r="L389">
        <f>IF(OR(A389="",K389=""),"",K389-A389)</f>
        <v/>
      </c>
      <c r="M389">
        <f>IF(B389="","",IF(K389&lt;&gt;"","Shipped",IF(F389&lt;&gt;"","Ordered, awaiting tracking","NOT ORDERED")))</f>
        <v/>
      </c>
    </row>
    <row r="390">
      <c r="C390">
        <f>IF(B390="","",RIGHT(B390,7))</f>
        <v/>
      </c>
      <c r="L390">
        <f>IF(OR(A390="",K390=""),"",K390-A390)</f>
        <v/>
      </c>
      <c r="M390">
        <f>IF(B390="","",IF(K390&lt;&gt;"","Shipped",IF(F390&lt;&gt;"","Ordered, awaiting tracking","NOT ORDERED")))</f>
        <v/>
      </c>
    </row>
    <row r="391">
      <c r="C391">
        <f>IF(B391="","",RIGHT(B391,7))</f>
        <v/>
      </c>
      <c r="L391">
        <f>IF(OR(A391="",K391=""),"",K391-A391)</f>
        <v/>
      </c>
      <c r="M391">
        <f>IF(B391="","",IF(K391&lt;&gt;"","Shipped",IF(F391&lt;&gt;"","Ordered, awaiting tracking","NOT ORDERED")))</f>
        <v/>
      </c>
    </row>
    <row r="392">
      <c r="C392">
        <f>IF(B392="","",RIGHT(B392,7))</f>
        <v/>
      </c>
      <c r="L392">
        <f>IF(OR(A392="",K392=""),"",K392-A392)</f>
        <v/>
      </c>
      <c r="M392">
        <f>IF(B392="","",IF(K392&lt;&gt;"","Shipped",IF(F392&lt;&gt;"","Ordered, awaiting tracking","NOT ORDERED")))</f>
        <v/>
      </c>
    </row>
    <row r="393">
      <c r="C393">
        <f>IF(B393="","",RIGHT(B393,7))</f>
        <v/>
      </c>
      <c r="L393">
        <f>IF(OR(A393="",K393=""),"",K393-A393)</f>
        <v/>
      </c>
      <c r="M393">
        <f>IF(B393="","",IF(K393&lt;&gt;"","Shipped",IF(F393&lt;&gt;"","Ordered, awaiting tracking","NOT ORDERED")))</f>
        <v/>
      </c>
    </row>
    <row r="394">
      <c r="C394">
        <f>IF(B394="","",RIGHT(B394,7))</f>
        <v/>
      </c>
      <c r="L394">
        <f>IF(OR(A394="",K394=""),"",K394-A394)</f>
        <v/>
      </c>
      <c r="M394">
        <f>IF(B394="","",IF(K394&lt;&gt;"","Shipped",IF(F394&lt;&gt;"","Ordered, awaiting tracking","NOT ORDERED")))</f>
        <v/>
      </c>
    </row>
    <row r="395">
      <c r="C395">
        <f>IF(B395="","",RIGHT(B395,7))</f>
        <v/>
      </c>
      <c r="L395">
        <f>IF(OR(A395="",K395=""),"",K395-A395)</f>
        <v/>
      </c>
      <c r="M395">
        <f>IF(B395="","",IF(K395&lt;&gt;"","Shipped",IF(F395&lt;&gt;"","Ordered, awaiting tracking","NOT ORDERED")))</f>
        <v/>
      </c>
    </row>
    <row r="396">
      <c r="C396">
        <f>IF(B396="","",RIGHT(B396,7))</f>
        <v/>
      </c>
      <c r="L396">
        <f>IF(OR(A396="",K396=""),"",K396-A396)</f>
        <v/>
      </c>
      <c r="M396">
        <f>IF(B396="","",IF(K396&lt;&gt;"","Shipped",IF(F396&lt;&gt;"","Ordered, awaiting tracking","NOT ORDERED")))</f>
        <v/>
      </c>
    </row>
    <row r="397">
      <c r="C397">
        <f>IF(B397="","",RIGHT(B397,7))</f>
        <v/>
      </c>
      <c r="L397">
        <f>IF(OR(A397="",K397=""),"",K397-A397)</f>
        <v/>
      </c>
      <c r="M397">
        <f>IF(B397="","",IF(K397&lt;&gt;"","Shipped",IF(F397&lt;&gt;"","Ordered, awaiting tracking","NOT ORDERED")))</f>
        <v/>
      </c>
    </row>
    <row r="398">
      <c r="C398">
        <f>IF(B398="","",RIGHT(B398,7))</f>
        <v/>
      </c>
      <c r="L398">
        <f>IF(OR(A398="",K398=""),"",K398-A398)</f>
        <v/>
      </c>
      <c r="M398">
        <f>IF(B398="","",IF(K398&lt;&gt;"","Shipped",IF(F398&lt;&gt;"","Ordered, awaiting tracking","NOT ORDERED")))</f>
        <v/>
      </c>
    </row>
    <row r="399">
      <c r="C399">
        <f>IF(B399="","",RIGHT(B399,7))</f>
        <v/>
      </c>
      <c r="L399">
        <f>IF(OR(A399="",K399=""),"",K399-A399)</f>
        <v/>
      </c>
      <c r="M399">
        <f>IF(B399="","",IF(K399&lt;&gt;"","Shipped",IF(F399&lt;&gt;"","Ordered, awaiting tracking","NOT ORDERED")))</f>
        <v/>
      </c>
    </row>
    <row r="400">
      <c r="C400">
        <f>IF(B400="","",RIGHT(B400,7))</f>
        <v/>
      </c>
      <c r="L400">
        <f>IF(OR(A400="",K400=""),"",K400-A400)</f>
        <v/>
      </c>
      <c r="M400">
        <f>IF(B400="","",IF(K400&lt;&gt;"","Shipped",IF(F400&lt;&gt;"","Ordered, awaiting tracking","NOT ORDERED")))</f>
        <v/>
      </c>
    </row>
    <row r="401">
      <c r="C401">
        <f>IF(B401="","",RIGHT(B401,7))</f>
        <v/>
      </c>
      <c r="L401">
        <f>IF(OR(A401="",K401=""),"",K401-A401)</f>
        <v/>
      </c>
      <c r="M401">
        <f>IF(B401="","",IF(K401&lt;&gt;"","Shipped",IF(F401&lt;&gt;"","Ordered, awaiting tracking","NOT ORDERED")))</f>
        <v/>
      </c>
    </row>
    <row r="402">
      <c r="C402">
        <f>IF(B402="","",RIGHT(B402,7))</f>
        <v/>
      </c>
      <c r="L402">
        <f>IF(OR(A402="",K402=""),"",K402-A402)</f>
        <v/>
      </c>
      <c r="M402">
        <f>IF(B402="","",IF(K402&lt;&gt;"","Shipped",IF(F402&lt;&gt;"","Ordered, awaiting tracking","NOT ORDERED")))</f>
        <v/>
      </c>
    </row>
    <row r="403">
      <c r="C403">
        <f>IF(B403="","",RIGHT(B403,7))</f>
        <v/>
      </c>
      <c r="L403">
        <f>IF(OR(A403="",K403=""),"",K403-A403)</f>
        <v/>
      </c>
      <c r="M403">
        <f>IF(B403="","",IF(K403&lt;&gt;"","Shipped",IF(F403&lt;&gt;"","Ordered, awaiting tracking","NOT ORDERED")))</f>
        <v/>
      </c>
    </row>
    <row r="404">
      <c r="C404">
        <f>IF(B404="","",RIGHT(B404,7))</f>
        <v/>
      </c>
      <c r="L404">
        <f>IF(OR(A404="",K404=""),"",K404-A404)</f>
        <v/>
      </c>
      <c r="M404">
        <f>IF(B404="","",IF(K404&lt;&gt;"","Shipped",IF(F404&lt;&gt;"","Ordered, awaiting tracking","NOT ORDERED")))</f>
        <v/>
      </c>
    </row>
    <row r="405">
      <c r="C405">
        <f>IF(B405="","",RIGHT(B405,7))</f>
        <v/>
      </c>
      <c r="L405">
        <f>IF(OR(A405="",K405=""),"",K405-A405)</f>
        <v/>
      </c>
      <c r="M405">
        <f>IF(B405="","",IF(K405&lt;&gt;"","Shipped",IF(F405&lt;&gt;"","Ordered, awaiting tracking","NOT ORDERED")))</f>
        <v/>
      </c>
    </row>
    <row r="406">
      <c r="C406">
        <f>IF(B406="","",RIGHT(B406,7))</f>
        <v/>
      </c>
      <c r="L406">
        <f>IF(OR(A406="",K406=""),"",K406-A406)</f>
        <v/>
      </c>
      <c r="M406">
        <f>IF(B406="","",IF(K406&lt;&gt;"","Shipped",IF(F406&lt;&gt;"","Ordered, awaiting tracking","NOT ORDERED")))</f>
        <v/>
      </c>
    </row>
    <row r="407">
      <c r="C407">
        <f>IF(B407="","",RIGHT(B407,7))</f>
        <v/>
      </c>
      <c r="L407">
        <f>IF(OR(A407="",K407=""),"",K407-A407)</f>
        <v/>
      </c>
      <c r="M407">
        <f>IF(B407="","",IF(K407&lt;&gt;"","Shipped",IF(F407&lt;&gt;"","Ordered, awaiting tracking","NOT ORDERED")))</f>
        <v/>
      </c>
    </row>
    <row r="408">
      <c r="C408">
        <f>IF(B408="","",RIGHT(B408,7))</f>
        <v/>
      </c>
      <c r="L408">
        <f>IF(OR(A408="",K408=""),"",K408-A408)</f>
        <v/>
      </c>
      <c r="M408">
        <f>IF(B408="","",IF(K408&lt;&gt;"","Shipped",IF(F408&lt;&gt;"","Ordered, awaiting tracking","NOT ORDERED")))</f>
        <v/>
      </c>
    </row>
    <row r="409">
      <c r="C409">
        <f>IF(B409="","",RIGHT(B409,7))</f>
        <v/>
      </c>
      <c r="L409">
        <f>IF(OR(A409="",K409=""),"",K409-A409)</f>
        <v/>
      </c>
      <c r="M409">
        <f>IF(B409="","",IF(K409&lt;&gt;"","Shipped",IF(F409&lt;&gt;"","Ordered, awaiting tracking","NOT ORDERED")))</f>
        <v/>
      </c>
    </row>
    <row r="410">
      <c r="C410">
        <f>IF(B410="","",RIGHT(B410,7))</f>
        <v/>
      </c>
      <c r="L410">
        <f>IF(OR(A410="",K410=""),"",K410-A410)</f>
        <v/>
      </c>
      <c r="M410">
        <f>IF(B410="","",IF(K410&lt;&gt;"","Shipped",IF(F410&lt;&gt;"","Ordered, awaiting tracking","NOT ORDERED")))</f>
        <v/>
      </c>
    </row>
    <row r="411">
      <c r="C411">
        <f>IF(B411="","",RIGHT(B411,7))</f>
        <v/>
      </c>
      <c r="L411">
        <f>IF(OR(A411="",K411=""),"",K411-A411)</f>
        <v/>
      </c>
      <c r="M411">
        <f>IF(B411="","",IF(K411&lt;&gt;"","Shipped",IF(F411&lt;&gt;"","Ordered, awaiting tracking","NOT ORDERED")))</f>
        <v/>
      </c>
    </row>
    <row r="412">
      <c r="C412">
        <f>IF(B412="","",RIGHT(B412,7))</f>
        <v/>
      </c>
      <c r="L412">
        <f>IF(OR(A412="",K412=""),"",K412-A412)</f>
        <v/>
      </c>
      <c r="M412">
        <f>IF(B412="","",IF(K412&lt;&gt;"","Shipped",IF(F412&lt;&gt;"","Ordered, awaiting tracking","NOT ORDERED")))</f>
        <v/>
      </c>
    </row>
    <row r="413">
      <c r="C413">
        <f>IF(B413="","",RIGHT(B413,7))</f>
        <v/>
      </c>
      <c r="L413">
        <f>IF(OR(A413="",K413=""),"",K413-A413)</f>
        <v/>
      </c>
      <c r="M413">
        <f>IF(B413="","",IF(K413&lt;&gt;"","Shipped",IF(F413&lt;&gt;"","Ordered, awaiting tracking","NOT ORDERED")))</f>
        <v/>
      </c>
    </row>
    <row r="414">
      <c r="C414">
        <f>IF(B414="","",RIGHT(B414,7))</f>
        <v/>
      </c>
      <c r="L414">
        <f>IF(OR(A414="",K414=""),"",K414-A414)</f>
        <v/>
      </c>
      <c r="M414">
        <f>IF(B414="","",IF(K414&lt;&gt;"","Shipped",IF(F414&lt;&gt;"","Ordered, awaiting tracking","NOT ORDERED")))</f>
        <v/>
      </c>
    </row>
    <row r="415">
      <c r="C415">
        <f>IF(B415="","",RIGHT(B415,7))</f>
        <v/>
      </c>
      <c r="L415">
        <f>IF(OR(A415="",K415=""),"",K415-A415)</f>
        <v/>
      </c>
      <c r="M415">
        <f>IF(B415="","",IF(K415&lt;&gt;"","Shipped",IF(F415&lt;&gt;"","Ordered, awaiting tracking","NOT ORDERED")))</f>
        <v/>
      </c>
    </row>
    <row r="416">
      <c r="C416">
        <f>IF(B416="","",RIGHT(B416,7))</f>
        <v/>
      </c>
      <c r="L416">
        <f>IF(OR(A416="",K416=""),"",K416-A416)</f>
        <v/>
      </c>
      <c r="M416">
        <f>IF(B416="","",IF(K416&lt;&gt;"","Shipped",IF(F416&lt;&gt;"","Ordered, awaiting tracking","NOT ORDERED")))</f>
        <v/>
      </c>
    </row>
    <row r="417">
      <c r="C417">
        <f>IF(B417="","",RIGHT(B417,7))</f>
        <v/>
      </c>
      <c r="L417">
        <f>IF(OR(A417="",K417=""),"",K417-A417)</f>
        <v/>
      </c>
      <c r="M417">
        <f>IF(B417="","",IF(K417&lt;&gt;"","Shipped",IF(F417&lt;&gt;"","Ordered, awaiting tracking","NOT ORDERED")))</f>
        <v/>
      </c>
    </row>
    <row r="418">
      <c r="C418">
        <f>IF(B418="","",RIGHT(B418,7))</f>
        <v/>
      </c>
      <c r="L418">
        <f>IF(OR(A418="",K418=""),"",K418-A418)</f>
        <v/>
      </c>
      <c r="M418">
        <f>IF(B418="","",IF(K418&lt;&gt;"","Shipped",IF(F418&lt;&gt;"","Ordered, awaiting tracking","NOT ORDERED")))</f>
        <v/>
      </c>
    </row>
    <row r="419">
      <c r="C419">
        <f>IF(B419="","",RIGHT(B419,7))</f>
        <v/>
      </c>
      <c r="L419">
        <f>IF(OR(A419="",K419=""),"",K419-A419)</f>
        <v/>
      </c>
      <c r="M419">
        <f>IF(B419="","",IF(K419&lt;&gt;"","Shipped",IF(F419&lt;&gt;"","Ordered, awaiting tracking","NOT ORDERED")))</f>
        <v/>
      </c>
    </row>
    <row r="420">
      <c r="C420">
        <f>IF(B420="","",RIGHT(B420,7))</f>
        <v/>
      </c>
      <c r="L420">
        <f>IF(OR(A420="",K420=""),"",K420-A420)</f>
        <v/>
      </c>
      <c r="M420">
        <f>IF(B420="","",IF(K420&lt;&gt;"","Shipped",IF(F420&lt;&gt;"","Ordered, awaiting tracking","NOT ORDERED")))</f>
        <v/>
      </c>
    </row>
    <row r="421">
      <c r="C421">
        <f>IF(B421="","",RIGHT(B421,7))</f>
        <v/>
      </c>
      <c r="L421">
        <f>IF(OR(A421="",K421=""),"",K421-A421)</f>
        <v/>
      </c>
      <c r="M421">
        <f>IF(B421="","",IF(K421&lt;&gt;"","Shipped",IF(F421&lt;&gt;"","Ordered, awaiting tracking","NOT ORDERED")))</f>
        <v/>
      </c>
    </row>
    <row r="422">
      <c r="C422">
        <f>IF(B422="","",RIGHT(B422,7))</f>
        <v/>
      </c>
      <c r="L422">
        <f>IF(OR(A422="",K422=""),"",K422-A422)</f>
        <v/>
      </c>
      <c r="M422">
        <f>IF(B422="","",IF(K422&lt;&gt;"","Shipped",IF(F422&lt;&gt;"","Ordered, awaiting tracking","NOT ORDERED")))</f>
        <v/>
      </c>
    </row>
    <row r="423">
      <c r="C423">
        <f>IF(B423="","",RIGHT(B423,7))</f>
        <v/>
      </c>
      <c r="L423">
        <f>IF(OR(A423="",K423=""),"",K423-A423)</f>
        <v/>
      </c>
      <c r="M423">
        <f>IF(B423="","",IF(K423&lt;&gt;"","Shipped",IF(F423&lt;&gt;"","Ordered, awaiting tracking","NOT ORDERED")))</f>
        <v/>
      </c>
    </row>
    <row r="424">
      <c r="C424">
        <f>IF(B424="","",RIGHT(B424,7))</f>
        <v/>
      </c>
      <c r="L424">
        <f>IF(OR(A424="",K424=""),"",K424-A424)</f>
        <v/>
      </c>
      <c r="M424">
        <f>IF(B424="","",IF(K424&lt;&gt;"","Shipped",IF(F424&lt;&gt;"","Ordered, awaiting tracking","NOT ORDERED")))</f>
        <v/>
      </c>
    </row>
    <row r="425">
      <c r="C425">
        <f>IF(B425="","",RIGHT(B425,7))</f>
        <v/>
      </c>
      <c r="L425">
        <f>IF(OR(A425="",K425=""),"",K425-A425)</f>
        <v/>
      </c>
      <c r="M425">
        <f>IF(B425="","",IF(K425&lt;&gt;"","Shipped",IF(F425&lt;&gt;"","Ordered, awaiting tracking","NOT ORDERED")))</f>
        <v/>
      </c>
    </row>
    <row r="426">
      <c r="C426">
        <f>IF(B426="","",RIGHT(B426,7))</f>
        <v/>
      </c>
      <c r="L426">
        <f>IF(OR(A426="",K426=""),"",K426-A426)</f>
        <v/>
      </c>
      <c r="M426">
        <f>IF(B426="","",IF(K426&lt;&gt;"","Shipped",IF(F426&lt;&gt;"","Ordered, awaiting tracking","NOT ORDERED")))</f>
        <v/>
      </c>
    </row>
    <row r="427">
      <c r="C427">
        <f>IF(B427="","",RIGHT(B427,7))</f>
        <v/>
      </c>
      <c r="L427">
        <f>IF(OR(A427="",K427=""),"",K427-A427)</f>
        <v/>
      </c>
      <c r="M427">
        <f>IF(B427="","",IF(K427&lt;&gt;"","Shipped",IF(F427&lt;&gt;"","Ordered, awaiting tracking","NOT ORDERED")))</f>
        <v/>
      </c>
    </row>
    <row r="428">
      <c r="C428">
        <f>IF(B428="","",RIGHT(B428,7))</f>
        <v/>
      </c>
      <c r="L428">
        <f>IF(OR(A428="",K428=""),"",K428-A428)</f>
        <v/>
      </c>
      <c r="M428">
        <f>IF(B428="","",IF(K428&lt;&gt;"","Shipped",IF(F428&lt;&gt;"","Ordered, awaiting tracking","NOT ORDERED")))</f>
        <v/>
      </c>
    </row>
    <row r="429">
      <c r="C429">
        <f>IF(B429="","",RIGHT(B429,7))</f>
        <v/>
      </c>
      <c r="L429">
        <f>IF(OR(A429="",K429=""),"",K429-A429)</f>
        <v/>
      </c>
      <c r="M429">
        <f>IF(B429="","",IF(K429&lt;&gt;"","Shipped",IF(F429&lt;&gt;"","Ordered, awaiting tracking","NOT ORDERED")))</f>
        <v/>
      </c>
    </row>
    <row r="430">
      <c r="C430">
        <f>IF(B430="","",RIGHT(B430,7))</f>
        <v/>
      </c>
      <c r="L430">
        <f>IF(OR(A430="",K430=""),"",K430-A430)</f>
        <v/>
      </c>
      <c r="M430">
        <f>IF(B430="","",IF(K430&lt;&gt;"","Shipped",IF(F430&lt;&gt;"","Ordered, awaiting tracking","NOT ORDERED")))</f>
        <v/>
      </c>
    </row>
    <row r="431">
      <c r="C431">
        <f>IF(B431="","",RIGHT(B431,7))</f>
        <v/>
      </c>
      <c r="L431">
        <f>IF(OR(A431="",K431=""),"",K431-A431)</f>
        <v/>
      </c>
      <c r="M431">
        <f>IF(B431="","",IF(K431&lt;&gt;"","Shipped",IF(F431&lt;&gt;"","Ordered, awaiting tracking","NOT ORDERED")))</f>
        <v/>
      </c>
    </row>
    <row r="432">
      <c r="C432">
        <f>IF(B432="","",RIGHT(B432,7))</f>
        <v/>
      </c>
      <c r="L432">
        <f>IF(OR(A432="",K432=""),"",K432-A432)</f>
        <v/>
      </c>
      <c r="M432">
        <f>IF(B432="","",IF(K432&lt;&gt;"","Shipped",IF(F432&lt;&gt;"","Ordered, awaiting tracking","NOT ORDERED")))</f>
        <v/>
      </c>
    </row>
    <row r="433">
      <c r="C433">
        <f>IF(B433="","",RIGHT(B433,7))</f>
        <v/>
      </c>
      <c r="L433">
        <f>IF(OR(A433="",K433=""),"",K433-A433)</f>
        <v/>
      </c>
      <c r="M433">
        <f>IF(B433="","",IF(K433&lt;&gt;"","Shipped",IF(F433&lt;&gt;"","Ordered, awaiting tracking","NOT ORDERED")))</f>
        <v/>
      </c>
    </row>
    <row r="434">
      <c r="C434">
        <f>IF(B434="","",RIGHT(B434,7))</f>
        <v/>
      </c>
      <c r="L434">
        <f>IF(OR(A434="",K434=""),"",K434-A434)</f>
        <v/>
      </c>
      <c r="M434">
        <f>IF(B434="","",IF(K434&lt;&gt;"","Shipped",IF(F434&lt;&gt;"","Ordered, awaiting tracking","NOT ORDERED")))</f>
        <v/>
      </c>
    </row>
    <row r="435">
      <c r="C435">
        <f>IF(B435="","",RIGHT(B435,7))</f>
        <v/>
      </c>
      <c r="L435">
        <f>IF(OR(A435="",K435=""),"",K435-A435)</f>
        <v/>
      </c>
      <c r="M435">
        <f>IF(B435="","",IF(K435&lt;&gt;"","Shipped",IF(F435&lt;&gt;"","Ordered, awaiting tracking","NOT ORDERED")))</f>
        <v/>
      </c>
    </row>
    <row r="436">
      <c r="C436">
        <f>IF(B436="","",RIGHT(B436,7))</f>
        <v/>
      </c>
      <c r="L436">
        <f>IF(OR(A436="",K436=""),"",K436-A436)</f>
        <v/>
      </c>
      <c r="M436">
        <f>IF(B436="","",IF(K436&lt;&gt;"","Shipped",IF(F436&lt;&gt;"","Ordered, awaiting tracking","NOT ORDERED")))</f>
        <v/>
      </c>
    </row>
    <row r="437">
      <c r="C437">
        <f>IF(B437="","",RIGHT(B437,7))</f>
        <v/>
      </c>
      <c r="L437">
        <f>IF(OR(A437="",K437=""),"",K437-A437)</f>
        <v/>
      </c>
      <c r="M437">
        <f>IF(B437="","",IF(K437&lt;&gt;"","Shipped",IF(F437&lt;&gt;"","Ordered, awaiting tracking","NOT ORDERED")))</f>
        <v/>
      </c>
    </row>
    <row r="438">
      <c r="C438">
        <f>IF(B438="","",RIGHT(B438,7))</f>
        <v/>
      </c>
      <c r="L438">
        <f>IF(OR(A438="",K438=""),"",K438-A438)</f>
        <v/>
      </c>
      <c r="M438">
        <f>IF(B438="","",IF(K438&lt;&gt;"","Shipped",IF(F438&lt;&gt;"","Ordered, awaiting tracking","NOT ORDERED")))</f>
        <v/>
      </c>
    </row>
    <row r="439">
      <c r="C439">
        <f>IF(B439="","",RIGHT(B439,7))</f>
        <v/>
      </c>
      <c r="L439">
        <f>IF(OR(A439="",K439=""),"",K439-A439)</f>
        <v/>
      </c>
      <c r="M439">
        <f>IF(B439="","",IF(K439&lt;&gt;"","Shipped",IF(F439&lt;&gt;"","Ordered, awaiting tracking","NOT ORDERED")))</f>
        <v/>
      </c>
    </row>
    <row r="440">
      <c r="C440">
        <f>IF(B440="","",RIGHT(B440,7))</f>
        <v/>
      </c>
      <c r="L440">
        <f>IF(OR(A440="",K440=""),"",K440-A440)</f>
        <v/>
      </c>
      <c r="M440">
        <f>IF(B440="","",IF(K440&lt;&gt;"","Shipped",IF(F440&lt;&gt;"","Ordered, awaiting tracking","NOT ORDERED")))</f>
        <v/>
      </c>
    </row>
    <row r="441">
      <c r="C441">
        <f>IF(B441="","",RIGHT(B441,7))</f>
        <v/>
      </c>
      <c r="L441">
        <f>IF(OR(A441="",K441=""),"",K441-A441)</f>
        <v/>
      </c>
      <c r="M441">
        <f>IF(B441="","",IF(K441&lt;&gt;"","Shipped",IF(F441&lt;&gt;"","Ordered, awaiting tracking","NOT ORDERED")))</f>
        <v/>
      </c>
    </row>
    <row r="442">
      <c r="C442">
        <f>IF(B442="","",RIGHT(B442,7))</f>
        <v/>
      </c>
      <c r="L442">
        <f>IF(OR(A442="",K442=""),"",K442-A442)</f>
        <v/>
      </c>
      <c r="M442">
        <f>IF(B442="","",IF(K442&lt;&gt;"","Shipped",IF(F442&lt;&gt;"","Ordered, awaiting tracking","NOT ORDERED")))</f>
        <v/>
      </c>
    </row>
    <row r="443">
      <c r="C443">
        <f>IF(B443="","",RIGHT(B443,7))</f>
        <v/>
      </c>
      <c r="L443">
        <f>IF(OR(A443="",K443=""),"",K443-A443)</f>
        <v/>
      </c>
      <c r="M443">
        <f>IF(B443="","",IF(K443&lt;&gt;"","Shipped",IF(F443&lt;&gt;"","Ordered, awaiting tracking","NOT ORDERED")))</f>
        <v/>
      </c>
    </row>
    <row r="444">
      <c r="C444">
        <f>IF(B444="","",RIGHT(B444,7))</f>
        <v/>
      </c>
      <c r="L444">
        <f>IF(OR(A444="",K444=""),"",K444-A444)</f>
        <v/>
      </c>
      <c r="M444">
        <f>IF(B444="","",IF(K444&lt;&gt;"","Shipped",IF(F444&lt;&gt;"","Ordered, awaiting tracking","NOT ORDERED")))</f>
        <v/>
      </c>
    </row>
    <row r="445">
      <c r="C445">
        <f>IF(B445="","",RIGHT(B445,7))</f>
        <v/>
      </c>
      <c r="L445">
        <f>IF(OR(A445="",K445=""),"",K445-A445)</f>
        <v/>
      </c>
      <c r="M445">
        <f>IF(B445="","",IF(K445&lt;&gt;"","Shipped",IF(F445&lt;&gt;"","Ordered, awaiting tracking","NOT ORDERED")))</f>
        <v/>
      </c>
    </row>
    <row r="446">
      <c r="C446">
        <f>IF(B446="","",RIGHT(B446,7))</f>
        <v/>
      </c>
      <c r="L446">
        <f>IF(OR(A446="",K446=""),"",K446-A446)</f>
        <v/>
      </c>
      <c r="M446">
        <f>IF(B446="","",IF(K446&lt;&gt;"","Shipped",IF(F446&lt;&gt;"","Ordered, awaiting tracking","NOT ORDERED")))</f>
        <v/>
      </c>
    </row>
    <row r="447">
      <c r="C447">
        <f>IF(B447="","",RIGHT(B447,7))</f>
        <v/>
      </c>
      <c r="L447">
        <f>IF(OR(A447="",K447=""),"",K447-A447)</f>
        <v/>
      </c>
      <c r="M447">
        <f>IF(B447="","",IF(K447&lt;&gt;"","Shipped",IF(F447&lt;&gt;"","Ordered, awaiting tracking","NOT ORDERED")))</f>
        <v/>
      </c>
    </row>
    <row r="448">
      <c r="C448">
        <f>IF(B448="","",RIGHT(B448,7))</f>
        <v/>
      </c>
      <c r="L448">
        <f>IF(OR(A448="",K448=""),"",K448-A448)</f>
        <v/>
      </c>
      <c r="M448">
        <f>IF(B448="","",IF(K448&lt;&gt;"","Shipped",IF(F448&lt;&gt;"","Ordered, awaiting tracking","NOT ORDERED")))</f>
        <v/>
      </c>
    </row>
    <row r="449">
      <c r="C449">
        <f>IF(B449="","",RIGHT(B449,7))</f>
        <v/>
      </c>
      <c r="L449">
        <f>IF(OR(A449="",K449=""),"",K449-A449)</f>
        <v/>
      </c>
      <c r="M449">
        <f>IF(B449="","",IF(K449&lt;&gt;"","Shipped",IF(F449&lt;&gt;"","Ordered, awaiting tracking","NOT ORDERED")))</f>
        <v/>
      </c>
    </row>
    <row r="450">
      <c r="C450">
        <f>IF(B450="","",RIGHT(B450,7))</f>
        <v/>
      </c>
      <c r="L450">
        <f>IF(OR(A450="",K450=""),"",K450-A450)</f>
        <v/>
      </c>
      <c r="M450">
        <f>IF(B450="","",IF(K450&lt;&gt;"","Shipped",IF(F450&lt;&gt;"","Ordered, awaiting tracking","NOT ORDERED")))</f>
        <v/>
      </c>
    </row>
    <row r="451">
      <c r="C451">
        <f>IF(B451="","",RIGHT(B451,7))</f>
        <v/>
      </c>
      <c r="L451">
        <f>IF(OR(A451="",K451=""),"",K451-A451)</f>
        <v/>
      </c>
      <c r="M451">
        <f>IF(B451="","",IF(K451&lt;&gt;"","Shipped",IF(F451&lt;&gt;"","Ordered, awaiting tracking","NOT ORDERED")))</f>
        <v/>
      </c>
    </row>
    <row r="452">
      <c r="C452">
        <f>IF(B452="","",RIGHT(B452,7))</f>
        <v/>
      </c>
      <c r="L452">
        <f>IF(OR(A452="",K452=""),"",K452-A452)</f>
        <v/>
      </c>
      <c r="M452">
        <f>IF(B452="","",IF(K452&lt;&gt;"","Shipped",IF(F452&lt;&gt;"","Ordered, awaiting tracking","NOT ORDERED")))</f>
        <v/>
      </c>
    </row>
    <row r="453">
      <c r="C453">
        <f>IF(B453="","",RIGHT(B453,7))</f>
        <v/>
      </c>
      <c r="L453">
        <f>IF(OR(A453="",K453=""),"",K453-A453)</f>
        <v/>
      </c>
      <c r="M453">
        <f>IF(B453="","",IF(K453&lt;&gt;"","Shipped",IF(F453&lt;&gt;"","Ordered, awaiting tracking","NOT ORDERED")))</f>
        <v/>
      </c>
    </row>
    <row r="454">
      <c r="C454">
        <f>IF(B454="","",RIGHT(B454,7))</f>
        <v/>
      </c>
      <c r="L454">
        <f>IF(OR(A454="",K454=""),"",K454-A454)</f>
        <v/>
      </c>
      <c r="M454">
        <f>IF(B454="","",IF(K454&lt;&gt;"","Shipped",IF(F454&lt;&gt;"","Ordered, awaiting tracking","NOT ORDERED")))</f>
        <v/>
      </c>
    </row>
    <row r="455">
      <c r="C455">
        <f>IF(B455="","",RIGHT(B455,7))</f>
        <v/>
      </c>
      <c r="L455">
        <f>IF(OR(A455="",K455=""),"",K455-A455)</f>
        <v/>
      </c>
      <c r="M455">
        <f>IF(B455="","",IF(K455&lt;&gt;"","Shipped",IF(F455&lt;&gt;"","Ordered, awaiting tracking","NOT ORDERED")))</f>
        <v/>
      </c>
    </row>
    <row r="456">
      <c r="C456">
        <f>IF(B456="","",RIGHT(B456,7))</f>
        <v/>
      </c>
      <c r="L456">
        <f>IF(OR(A456="",K456=""),"",K456-A456)</f>
        <v/>
      </c>
      <c r="M456">
        <f>IF(B456="","",IF(K456&lt;&gt;"","Shipped",IF(F456&lt;&gt;"","Ordered, awaiting tracking","NOT ORDERED")))</f>
        <v/>
      </c>
    </row>
    <row r="457">
      <c r="C457">
        <f>IF(B457="","",RIGHT(B457,7))</f>
        <v/>
      </c>
      <c r="L457">
        <f>IF(OR(A457="",K457=""),"",K457-A457)</f>
        <v/>
      </c>
      <c r="M457">
        <f>IF(B457="","",IF(K457&lt;&gt;"","Shipped",IF(F457&lt;&gt;"","Ordered, awaiting tracking","NOT ORDERED")))</f>
        <v/>
      </c>
    </row>
    <row r="458">
      <c r="C458">
        <f>IF(B458="","",RIGHT(B458,7))</f>
        <v/>
      </c>
      <c r="L458">
        <f>IF(OR(A458="",K458=""),"",K458-A458)</f>
        <v/>
      </c>
      <c r="M458">
        <f>IF(B458="","",IF(K458&lt;&gt;"","Shipped",IF(F458&lt;&gt;"","Ordered, awaiting tracking","NOT ORDERED")))</f>
        <v/>
      </c>
    </row>
    <row r="459">
      <c r="C459">
        <f>IF(B459="","",RIGHT(B459,7))</f>
        <v/>
      </c>
      <c r="L459">
        <f>IF(OR(A459="",K459=""),"",K459-A459)</f>
        <v/>
      </c>
      <c r="M459">
        <f>IF(B459="","",IF(K459&lt;&gt;"","Shipped",IF(F459&lt;&gt;"","Ordered, awaiting tracking","NOT ORDERED")))</f>
        <v/>
      </c>
    </row>
    <row r="460">
      <c r="C460">
        <f>IF(B460="","",RIGHT(B460,7))</f>
        <v/>
      </c>
      <c r="L460">
        <f>IF(OR(A460="",K460=""),"",K460-A460)</f>
        <v/>
      </c>
      <c r="M460">
        <f>IF(B460="","",IF(K460&lt;&gt;"","Shipped",IF(F460&lt;&gt;"","Ordered, awaiting tracking","NOT ORDERED")))</f>
        <v/>
      </c>
    </row>
    <row r="461">
      <c r="C461">
        <f>IF(B461="","",RIGHT(B461,7))</f>
        <v/>
      </c>
      <c r="L461">
        <f>IF(OR(A461="",K461=""),"",K461-A461)</f>
        <v/>
      </c>
      <c r="M461">
        <f>IF(B461="","",IF(K461&lt;&gt;"","Shipped",IF(F461&lt;&gt;"","Ordered, awaiting tracking","NOT ORDERED")))</f>
        <v/>
      </c>
    </row>
    <row r="462">
      <c r="C462">
        <f>IF(B462="","",RIGHT(B462,7))</f>
        <v/>
      </c>
      <c r="L462">
        <f>IF(OR(A462="",K462=""),"",K462-A462)</f>
        <v/>
      </c>
      <c r="M462">
        <f>IF(B462="","",IF(K462&lt;&gt;"","Shipped",IF(F462&lt;&gt;"","Ordered, awaiting tracking","NOT ORDERED")))</f>
        <v/>
      </c>
    </row>
    <row r="463">
      <c r="C463">
        <f>IF(B463="","",RIGHT(B463,7))</f>
        <v/>
      </c>
      <c r="L463">
        <f>IF(OR(A463="",K463=""),"",K463-A463)</f>
        <v/>
      </c>
      <c r="M463">
        <f>IF(B463="","",IF(K463&lt;&gt;"","Shipped",IF(F463&lt;&gt;"","Ordered, awaiting tracking","NOT ORDERED")))</f>
        <v/>
      </c>
    </row>
    <row r="464">
      <c r="C464">
        <f>IF(B464="","",RIGHT(B464,7))</f>
        <v/>
      </c>
      <c r="L464">
        <f>IF(OR(A464="",K464=""),"",K464-A464)</f>
        <v/>
      </c>
      <c r="M464">
        <f>IF(B464="","",IF(K464&lt;&gt;"","Shipped",IF(F464&lt;&gt;"","Ordered, awaiting tracking","NOT ORDERED")))</f>
        <v/>
      </c>
    </row>
    <row r="465">
      <c r="C465">
        <f>IF(B465="","",RIGHT(B465,7))</f>
        <v/>
      </c>
      <c r="L465">
        <f>IF(OR(A465="",K465=""),"",K465-A465)</f>
        <v/>
      </c>
      <c r="M465">
        <f>IF(B465="","",IF(K465&lt;&gt;"","Shipped",IF(F465&lt;&gt;"","Ordered, awaiting tracking","NOT ORDERED")))</f>
        <v/>
      </c>
    </row>
    <row r="466">
      <c r="C466">
        <f>IF(B466="","",RIGHT(B466,7))</f>
        <v/>
      </c>
      <c r="L466">
        <f>IF(OR(A466="",K466=""),"",K466-A466)</f>
        <v/>
      </c>
      <c r="M466">
        <f>IF(B466="","",IF(K466&lt;&gt;"","Shipped",IF(F466&lt;&gt;"","Ordered, awaiting tracking","NOT ORDERED")))</f>
        <v/>
      </c>
    </row>
    <row r="467">
      <c r="C467">
        <f>IF(B467="","",RIGHT(B467,7))</f>
        <v/>
      </c>
      <c r="L467">
        <f>IF(OR(A467="",K467=""),"",K467-A467)</f>
        <v/>
      </c>
      <c r="M467">
        <f>IF(B467="","",IF(K467&lt;&gt;"","Shipped",IF(F467&lt;&gt;"","Ordered, awaiting tracking","NOT ORDERED")))</f>
        <v/>
      </c>
    </row>
    <row r="468">
      <c r="C468">
        <f>IF(B468="","",RIGHT(B468,7))</f>
        <v/>
      </c>
      <c r="L468">
        <f>IF(OR(A468="",K468=""),"",K468-A468)</f>
        <v/>
      </c>
      <c r="M468">
        <f>IF(B468="","",IF(K468&lt;&gt;"","Shipped",IF(F468&lt;&gt;"","Ordered, awaiting tracking","NOT ORDERED")))</f>
        <v/>
      </c>
    </row>
    <row r="469">
      <c r="C469">
        <f>IF(B469="","",RIGHT(B469,7))</f>
        <v/>
      </c>
      <c r="L469">
        <f>IF(OR(A469="",K469=""),"",K469-A469)</f>
        <v/>
      </c>
      <c r="M469">
        <f>IF(B469="","",IF(K469&lt;&gt;"","Shipped",IF(F469&lt;&gt;"","Ordered, awaiting tracking","NOT ORDERED")))</f>
        <v/>
      </c>
    </row>
    <row r="470">
      <c r="C470">
        <f>IF(B470="","",RIGHT(B470,7))</f>
        <v/>
      </c>
      <c r="L470">
        <f>IF(OR(A470="",K470=""),"",K470-A470)</f>
        <v/>
      </c>
      <c r="M470">
        <f>IF(B470="","",IF(K470&lt;&gt;"","Shipped",IF(F470&lt;&gt;"","Ordered, awaiting tracking","NOT ORDERED")))</f>
        <v/>
      </c>
    </row>
    <row r="471">
      <c r="C471">
        <f>IF(B471="","",RIGHT(B471,7))</f>
        <v/>
      </c>
      <c r="L471">
        <f>IF(OR(A471="",K471=""),"",K471-A471)</f>
        <v/>
      </c>
      <c r="M471">
        <f>IF(B471="","",IF(K471&lt;&gt;"","Shipped",IF(F471&lt;&gt;"","Ordered, awaiting tracking","NOT ORDERED")))</f>
        <v/>
      </c>
    </row>
    <row r="472">
      <c r="C472">
        <f>IF(B472="","",RIGHT(B472,7))</f>
        <v/>
      </c>
      <c r="L472">
        <f>IF(OR(A472="",K472=""),"",K472-A472)</f>
        <v/>
      </c>
      <c r="M472">
        <f>IF(B472="","",IF(K472&lt;&gt;"","Shipped",IF(F472&lt;&gt;"","Ordered, awaiting tracking","NOT ORDERED")))</f>
        <v/>
      </c>
    </row>
    <row r="473">
      <c r="C473">
        <f>IF(B473="","",RIGHT(B473,7))</f>
        <v/>
      </c>
      <c r="L473">
        <f>IF(OR(A473="",K473=""),"",K473-A473)</f>
        <v/>
      </c>
      <c r="M473">
        <f>IF(B473="","",IF(K473&lt;&gt;"","Shipped",IF(F473&lt;&gt;"","Ordered, awaiting tracking","NOT ORDERED")))</f>
        <v/>
      </c>
    </row>
    <row r="474">
      <c r="C474">
        <f>IF(B474="","",RIGHT(B474,7))</f>
        <v/>
      </c>
      <c r="L474">
        <f>IF(OR(A474="",K474=""),"",K474-A474)</f>
        <v/>
      </c>
      <c r="M474">
        <f>IF(B474="","",IF(K474&lt;&gt;"","Shipped",IF(F474&lt;&gt;"","Ordered, awaiting tracking","NOT ORDERED")))</f>
        <v/>
      </c>
    </row>
    <row r="475">
      <c r="C475">
        <f>IF(B475="","",RIGHT(B475,7))</f>
        <v/>
      </c>
      <c r="L475">
        <f>IF(OR(A475="",K475=""),"",K475-A475)</f>
        <v/>
      </c>
      <c r="M475">
        <f>IF(B475="","",IF(K475&lt;&gt;"","Shipped",IF(F475&lt;&gt;"","Ordered, awaiting tracking","NOT ORDERED")))</f>
        <v/>
      </c>
    </row>
    <row r="476">
      <c r="C476">
        <f>IF(B476="","",RIGHT(B476,7))</f>
        <v/>
      </c>
      <c r="L476">
        <f>IF(OR(A476="",K476=""),"",K476-A476)</f>
        <v/>
      </c>
      <c r="M476">
        <f>IF(B476="","",IF(K476&lt;&gt;"","Shipped",IF(F476&lt;&gt;"","Ordered, awaiting tracking","NOT ORDERED")))</f>
        <v/>
      </c>
    </row>
    <row r="477">
      <c r="C477">
        <f>IF(B477="","",RIGHT(B477,7))</f>
        <v/>
      </c>
      <c r="L477">
        <f>IF(OR(A477="",K477=""),"",K477-A477)</f>
        <v/>
      </c>
      <c r="M477">
        <f>IF(B477="","",IF(K477&lt;&gt;"","Shipped",IF(F477&lt;&gt;"","Ordered, awaiting tracking","NOT ORDERED")))</f>
        <v/>
      </c>
    </row>
    <row r="478">
      <c r="C478">
        <f>IF(B478="","",RIGHT(B478,7))</f>
        <v/>
      </c>
      <c r="L478">
        <f>IF(OR(A478="",K478=""),"",K478-A478)</f>
        <v/>
      </c>
      <c r="M478">
        <f>IF(B478="","",IF(K478&lt;&gt;"","Shipped",IF(F478&lt;&gt;"","Ordered, awaiting tracking","NOT ORDERED")))</f>
        <v/>
      </c>
    </row>
    <row r="479">
      <c r="C479">
        <f>IF(B479="","",RIGHT(B479,7))</f>
        <v/>
      </c>
      <c r="L479">
        <f>IF(OR(A479="",K479=""),"",K479-A479)</f>
        <v/>
      </c>
      <c r="M479">
        <f>IF(B479="","",IF(K479&lt;&gt;"","Shipped",IF(F479&lt;&gt;"","Ordered, awaiting tracking","NOT ORDERED")))</f>
        <v/>
      </c>
    </row>
    <row r="480">
      <c r="C480">
        <f>IF(B480="","",RIGHT(B480,7))</f>
        <v/>
      </c>
      <c r="L480">
        <f>IF(OR(A480="",K480=""),"",K480-A480)</f>
        <v/>
      </c>
      <c r="M480">
        <f>IF(B480="","",IF(K480&lt;&gt;"","Shipped",IF(F480&lt;&gt;"","Ordered, awaiting tracking","NOT ORDERED")))</f>
        <v/>
      </c>
    </row>
    <row r="481">
      <c r="C481">
        <f>IF(B481="","",RIGHT(B481,7))</f>
        <v/>
      </c>
      <c r="L481">
        <f>IF(OR(A481="",K481=""),"",K481-A481)</f>
        <v/>
      </c>
      <c r="M481">
        <f>IF(B481="","",IF(K481&lt;&gt;"","Shipped",IF(F481&lt;&gt;"","Ordered, awaiting tracking","NOT ORDERED")))</f>
        <v/>
      </c>
    </row>
    <row r="482">
      <c r="C482">
        <f>IF(B482="","",RIGHT(B482,7))</f>
        <v/>
      </c>
      <c r="L482">
        <f>IF(OR(A482="",K482=""),"",K482-A482)</f>
        <v/>
      </c>
      <c r="M482">
        <f>IF(B482="","",IF(K482&lt;&gt;"","Shipped",IF(F482&lt;&gt;"","Ordered, awaiting tracking","NOT ORDERED")))</f>
        <v/>
      </c>
    </row>
    <row r="483">
      <c r="C483">
        <f>IF(B483="","",RIGHT(B483,7))</f>
        <v/>
      </c>
      <c r="L483">
        <f>IF(OR(A483="",K483=""),"",K483-A483)</f>
        <v/>
      </c>
      <c r="M483">
        <f>IF(B483="","",IF(K483&lt;&gt;"","Shipped",IF(F483&lt;&gt;"","Ordered, awaiting tracking","NOT ORDERED")))</f>
        <v/>
      </c>
    </row>
    <row r="484">
      <c r="C484">
        <f>IF(B484="","",RIGHT(B484,7))</f>
        <v/>
      </c>
      <c r="L484">
        <f>IF(OR(A484="",K484=""),"",K484-A484)</f>
        <v/>
      </c>
      <c r="M484">
        <f>IF(B484="","",IF(K484&lt;&gt;"","Shipped",IF(F484&lt;&gt;"","Ordered, awaiting tracking","NOT ORDERED")))</f>
        <v/>
      </c>
    </row>
    <row r="485">
      <c r="C485">
        <f>IF(B485="","",RIGHT(B485,7))</f>
        <v/>
      </c>
      <c r="L485">
        <f>IF(OR(A485="",K485=""),"",K485-A485)</f>
        <v/>
      </c>
      <c r="M485">
        <f>IF(B485="","",IF(K485&lt;&gt;"","Shipped",IF(F485&lt;&gt;"","Ordered, awaiting tracking","NOT ORDERED")))</f>
        <v/>
      </c>
    </row>
    <row r="486">
      <c r="C486">
        <f>IF(B486="","",RIGHT(B486,7))</f>
        <v/>
      </c>
      <c r="L486">
        <f>IF(OR(A486="",K486=""),"",K486-A486)</f>
        <v/>
      </c>
      <c r="M486">
        <f>IF(B486="","",IF(K486&lt;&gt;"","Shipped",IF(F486&lt;&gt;"","Ordered, awaiting tracking","NOT ORDERED")))</f>
        <v/>
      </c>
    </row>
    <row r="487">
      <c r="C487">
        <f>IF(B487="","",RIGHT(B487,7))</f>
        <v/>
      </c>
      <c r="L487">
        <f>IF(OR(A487="",K487=""),"",K487-A487)</f>
        <v/>
      </c>
      <c r="M487">
        <f>IF(B487="","",IF(K487&lt;&gt;"","Shipped",IF(F487&lt;&gt;"","Ordered, awaiting tracking","NOT ORDERED")))</f>
        <v/>
      </c>
    </row>
    <row r="488">
      <c r="C488">
        <f>IF(B488="","",RIGHT(B488,7))</f>
        <v/>
      </c>
      <c r="L488">
        <f>IF(OR(A488="",K488=""),"",K488-A488)</f>
        <v/>
      </c>
      <c r="M488">
        <f>IF(B488="","",IF(K488&lt;&gt;"","Shipped",IF(F488&lt;&gt;"","Ordered, awaiting tracking","NOT ORDERED")))</f>
        <v/>
      </c>
    </row>
    <row r="489">
      <c r="C489">
        <f>IF(B489="","",RIGHT(B489,7))</f>
        <v/>
      </c>
      <c r="L489">
        <f>IF(OR(A489="",K489=""),"",K489-A489)</f>
        <v/>
      </c>
      <c r="M489">
        <f>IF(B489="","",IF(K489&lt;&gt;"","Shipped",IF(F489&lt;&gt;"","Ordered, awaiting tracking","NOT ORDERED")))</f>
        <v/>
      </c>
    </row>
    <row r="490">
      <c r="C490">
        <f>IF(B490="","",RIGHT(B490,7))</f>
        <v/>
      </c>
      <c r="L490">
        <f>IF(OR(A490="",K490=""),"",K490-A490)</f>
        <v/>
      </c>
      <c r="M490">
        <f>IF(B490="","",IF(K490&lt;&gt;"","Shipped",IF(F490&lt;&gt;"","Ordered, awaiting tracking","NOT ORDERED")))</f>
        <v/>
      </c>
    </row>
    <row r="491">
      <c r="C491">
        <f>IF(B491="","",RIGHT(B491,7))</f>
        <v/>
      </c>
      <c r="L491">
        <f>IF(OR(A491="",K491=""),"",K491-A491)</f>
        <v/>
      </c>
      <c r="M491">
        <f>IF(B491="","",IF(K491&lt;&gt;"","Shipped",IF(F491&lt;&gt;"","Ordered, awaiting tracking","NOT ORDERED")))</f>
        <v/>
      </c>
    </row>
    <row r="492">
      <c r="C492">
        <f>IF(B492="","",RIGHT(B492,7))</f>
        <v/>
      </c>
      <c r="L492">
        <f>IF(OR(A492="",K492=""),"",K492-A492)</f>
        <v/>
      </c>
      <c r="M492">
        <f>IF(B492="","",IF(K492&lt;&gt;"","Shipped",IF(F492&lt;&gt;"","Ordered, awaiting tracking","NOT ORDERED")))</f>
        <v/>
      </c>
    </row>
    <row r="493">
      <c r="C493">
        <f>IF(B493="","",RIGHT(B493,7))</f>
        <v/>
      </c>
      <c r="L493">
        <f>IF(OR(A493="",K493=""),"",K493-A493)</f>
        <v/>
      </c>
      <c r="M493">
        <f>IF(B493="","",IF(K493&lt;&gt;"","Shipped",IF(F493&lt;&gt;"","Ordered, awaiting tracking","NOT ORDERED")))</f>
        <v/>
      </c>
    </row>
    <row r="494">
      <c r="C494">
        <f>IF(B494="","",RIGHT(B494,7))</f>
        <v/>
      </c>
      <c r="L494">
        <f>IF(OR(A494="",K494=""),"",K494-A494)</f>
        <v/>
      </c>
      <c r="M494">
        <f>IF(B494="","",IF(K494&lt;&gt;"","Shipped",IF(F494&lt;&gt;"","Ordered, awaiting tracking","NOT ORDERED")))</f>
        <v/>
      </c>
    </row>
    <row r="495">
      <c r="C495">
        <f>IF(B495="","",RIGHT(B495,7))</f>
        <v/>
      </c>
      <c r="L495">
        <f>IF(OR(A495="",K495=""),"",K495-A495)</f>
        <v/>
      </c>
      <c r="M495">
        <f>IF(B495="","",IF(K495&lt;&gt;"","Shipped",IF(F495&lt;&gt;"","Ordered, awaiting tracking","NOT ORDERED")))</f>
        <v/>
      </c>
    </row>
    <row r="496">
      <c r="C496">
        <f>IF(B496="","",RIGHT(B496,7))</f>
        <v/>
      </c>
      <c r="L496">
        <f>IF(OR(A496="",K496=""),"",K496-A496)</f>
        <v/>
      </c>
      <c r="M496">
        <f>IF(B496="","",IF(K496&lt;&gt;"","Shipped",IF(F496&lt;&gt;"","Ordered, awaiting tracking","NOT ORDERED")))</f>
        <v/>
      </c>
    </row>
    <row r="497">
      <c r="C497">
        <f>IF(B497="","",RIGHT(B497,7))</f>
        <v/>
      </c>
      <c r="L497">
        <f>IF(OR(A497="",K497=""),"",K497-A497)</f>
        <v/>
      </c>
      <c r="M497">
        <f>IF(B497="","",IF(K497&lt;&gt;"","Shipped",IF(F497&lt;&gt;"","Ordered, awaiting tracking","NOT ORDERED")))</f>
        <v/>
      </c>
    </row>
    <row r="498">
      <c r="C498">
        <f>IF(B498="","",RIGHT(B498,7))</f>
        <v/>
      </c>
      <c r="L498">
        <f>IF(OR(A498="",K498=""),"",K498-A498)</f>
        <v/>
      </c>
      <c r="M498">
        <f>IF(B498="","",IF(K498&lt;&gt;"","Shipped",IF(F498&lt;&gt;"","Ordered, awaiting tracking","NOT ORDERED")))</f>
        <v/>
      </c>
    </row>
    <row r="499">
      <c r="C499">
        <f>IF(B499="","",RIGHT(B499,7))</f>
        <v/>
      </c>
      <c r="L499">
        <f>IF(OR(A499="",K499=""),"",K499-A499)</f>
        <v/>
      </c>
      <c r="M499">
        <f>IF(B499="","",IF(K499&lt;&gt;"","Shipped",IF(F499&lt;&gt;"","Ordered, awaiting tracking","NOT ORDERED")))</f>
        <v/>
      </c>
    </row>
    <row r="500">
      <c r="C500">
        <f>IF(B500="","",RIGHT(B500,7))</f>
        <v/>
      </c>
      <c r="L500">
        <f>IF(OR(A500="",K500=""),"",K500-A500)</f>
        <v/>
      </c>
      <c r="M500">
        <f>IF(B500="","",IF(K500&lt;&gt;"","Shipped",IF(F500&lt;&gt;"","Ordered, awaiting tracking","NOT ORDERED")))</f>
        <v/>
      </c>
    </row>
    <row r="501">
      <c r="C501">
        <f>IF(B501="","",RIGHT(B501,7))</f>
        <v/>
      </c>
      <c r="L501">
        <f>IF(OR(A501="",K501=""),"",K501-A501)</f>
        <v/>
      </c>
      <c r="M501">
        <f>IF(B501="","",IF(K501&lt;&gt;"","Shipped",IF(F501&lt;&gt;"","Ordered, awaiting tracking","NOT ORDERED")))</f>
        <v/>
      </c>
    </row>
    <row r="502">
      <c r="C502">
        <f>IF(B502="","",RIGHT(B502,7))</f>
        <v/>
      </c>
      <c r="L502">
        <f>IF(OR(A502="",K502=""),"",K502-A502)</f>
        <v/>
      </c>
      <c r="M502">
        <f>IF(B502="","",IF(K502&lt;&gt;"","Shipped",IF(F502&lt;&gt;"","Ordered, awaiting tracking","NOT ORDERED")))</f>
        <v/>
      </c>
    </row>
    <row r="503">
      <c r="C503">
        <f>IF(B503="","",RIGHT(B503,7))</f>
        <v/>
      </c>
      <c r="L503">
        <f>IF(OR(A503="",K503=""),"",K503-A503)</f>
        <v/>
      </c>
      <c r="M503">
        <f>IF(B503="","",IF(K503&lt;&gt;"","Shipped",IF(F503&lt;&gt;"","Ordered, awaiting tracking","NOT ORDERED")))</f>
        <v/>
      </c>
    </row>
    <row r="504">
      <c r="C504">
        <f>IF(B504="","",RIGHT(B504,7))</f>
        <v/>
      </c>
      <c r="L504">
        <f>IF(OR(A504="",K504=""),"",K504-A504)</f>
        <v/>
      </c>
      <c r="M504">
        <f>IF(B504="","",IF(K504&lt;&gt;"","Shipped",IF(F504&lt;&gt;"","Ordered, awaiting tracking","NOT ORDERED")))</f>
        <v/>
      </c>
    </row>
    <row r="505">
      <c r="C505">
        <f>IF(B505="","",RIGHT(B505,7))</f>
        <v/>
      </c>
      <c r="L505">
        <f>IF(OR(A505="",K505=""),"",K505-A505)</f>
        <v/>
      </c>
      <c r="M505">
        <f>IF(B505="","",IF(K505&lt;&gt;"","Shipped",IF(F505&lt;&gt;"","Ordered, awaiting tracking","NOT ORDERED")))</f>
        <v/>
      </c>
    </row>
    <row r="506">
      <c r="C506">
        <f>IF(B506="","",RIGHT(B506,7))</f>
        <v/>
      </c>
      <c r="L506">
        <f>IF(OR(A506="",K506=""),"",K506-A506)</f>
        <v/>
      </c>
      <c r="M506">
        <f>IF(B506="","",IF(K506&lt;&gt;"","Shipped",IF(F506&lt;&gt;"","Ordered, awaiting tracking","NOT ORDERED")))</f>
        <v/>
      </c>
    </row>
    <row r="507">
      <c r="C507">
        <f>IF(B507="","",RIGHT(B507,7))</f>
        <v/>
      </c>
      <c r="L507">
        <f>IF(OR(A507="",K507=""),"",K507-A507)</f>
        <v/>
      </c>
      <c r="M507">
        <f>IF(B507="","",IF(K507&lt;&gt;"","Shipped",IF(F507&lt;&gt;"","Ordered, awaiting tracking","NOT ORDERED")))</f>
        <v/>
      </c>
    </row>
    <row r="508">
      <c r="C508">
        <f>IF(B508="","",RIGHT(B508,7))</f>
        <v/>
      </c>
      <c r="L508">
        <f>IF(OR(A508="",K508=""),"",K508-A508)</f>
        <v/>
      </c>
      <c r="M508">
        <f>IF(B508="","",IF(K508&lt;&gt;"","Shipped",IF(F508&lt;&gt;"","Ordered, awaiting tracking","NOT ORDERED")))</f>
        <v/>
      </c>
    </row>
    <row r="509">
      <c r="C509">
        <f>IF(B509="","",RIGHT(B509,7))</f>
        <v/>
      </c>
      <c r="L509">
        <f>IF(OR(A509="",K509=""),"",K509-A509)</f>
        <v/>
      </c>
      <c r="M509">
        <f>IF(B509="","",IF(K509&lt;&gt;"","Shipped",IF(F509&lt;&gt;"","Ordered, awaiting tracking","NOT ORDERED")))</f>
        <v/>
      </c>
    </row>
    <row r="510">
      <c r="C510">
        <f>IF(B510="","",RIGHT(B510,7))</f>
        <v/>
      </c>
      <c r="L510">
        <f>IF(OR(A510="",K510=""),"",K510-A510)</f>
        <v/>
      </c>
      <c r="M510">
        <f>IF(B510="","",IF(K510&lt;&gt;"","Shipped",IF(F510&lt;&gt;"","Ordered, awaiting tracking","NOT ORDERED")))</f>
        <v/>
      </c>
    </row>
    <row r="511">
      <c r="C511">
        <f>IF(B511="","",RIGHT(B511,7))</f>
        <v/>
      </c>
      <c r="L511">
        <f>IF(OR(A511="",K511=""),"",K511-A511)</f>
        <v/>
      </c>
      <c r="M511">
        <f>IF(B511="","",IF(K511&lt;&gt;"","Shipped",IF(F511&lt;&gt;"","Ordered, awaiting tracking","NOT ORDERED")))</f>
        <v/>
      </c>
    </row>
    <row r="512">
      <c r="C512">
        <f>IF(B512="","",RIGHT(B512,7))</f>
        <v/>
      </c>
      <c r="L512">
        <f>IF(OR(A512="",K512=""),"",K512-A512)</f>
        <v/>
      </c>
      <c r="M512">
        <f>IF(B512="","",IF(K512&lt;&gt;"","Shipped",IF(F512&lt;&gt;"","Ordered, awaiting tracking","NOT ORDERED")))</f>
        <v/>
      </c>
    </row>
    <row r="513">
      <c r="C513">
        <f>IF(B513="","",RIGHT(B513,7))</f>
        <v/>
      </c>
      <c r="L513">
        <f>IF(OR(A513="",K513=""),"",K513-A513)</f>
        <v/>
      </c>
      <c r="M513">
        <f>IF(B513="","",IF(K513&lt;&gt;"","Shipped",IF(F513&lt;&gt;"","Ordered, awaiting tracking","NOT ORDERED")))</f>
        <v/>
      </c>
    </row>
    <row r="514">
      <c r="C514">
        <f>IF(B514="","",RIGHT(B514,7))</f>
        <v/>
      </c>
      <c r="L514">
        <f>IF(OR(A514="",K514=""),"",K514-A514)</f>
        <v/>
      </c>
      <c r="M514">
        <f>IF(B514="","",IF(K514&lt;&gt;"","Shipped",IF(F514&lt;&gt;"","Ordered, awaiting tracking","NOT ORDERED")))</f>
        <v/>
      </c>
    </row>
    <row r="515">
      <c r="C515">
        <f>IF(B515="","",RIGHT(B515,7))</f>
        <v/>
      </c>
      <c r="L515">
        <f>IF(OR(A515="",K515=""),"",K515-A515)</f>
        <v/>
      </c>
      <c r="M515">
        <f>IF(B515="","",IF(K515&lt;&gt;"","Shipped",IF(F515&lt;&gt;"","Ordered, awaiting tracking","NOT ORDERED")))</f>
        <v/>
      </c>
    </row>
    <row r="516">
      <c r="C516">
        <f>IF(B516="","",RIGHT(B516,7))</f>
        <v/>
      </c>
      <c r="L516">
        <f>IF(OR(A516="",K516=""),"",K516-A516)</f>
        <v/>
      </c>
      <c r="M516">
        <f>IF(B516="","",IF(K516&lt;&gt;"","Shipped",IF(F516&lt;&gt;"","Ordered, awaiting tracking","NOT ORDERED")))</f>
        <v/>
      </c>
    </row>
    <row r="517">
      <c r="C517">
        <f>IF(B517="","",RIGHT(B517,7))</f>
        <v/>
      </c>
      <c r="L517">
        <f>IF(OR(A517="",K517=""),"",K517-A517)</f>
        <v/>
      </c>
      <c r="M517">
        <f>IF(B517="","",IF(K517&lt;&gt;"","Shipped",IF(F517&lt;&gt;"","Ordered, awaiting tracking","NOT ORDERED")))</f>
        <v/>
      </c>
    </row>
    <row r="518">
      <c r="C518">
        <f>IF(B518="","",RIGHT(B518,7))</f>
        <v/>
      </c>
      <c r="L518">
        <f>IF(OR(A518="",K518=""),"",K518-A518)</f>
        <v/>
      </c>
      <c r="M518">
        <f>IF(B518="","",IF(K518&lt;&gt;"","Shipped",IF(F518&lt;&gt;"","Ordered, awaiting tracking","NOT ORDERED")))</f>
        <v/>
      </c>
    </row>
    <row r="519">
      <c r="C519">
        <f>IF(B519="","",RIGHT(B519,7))</f>
        <v/>
      </c>
      <c r="L519">
        <f>IF(OR(A519="",K519=""),"",K519-A519)</f>
        <v/>
      </c>
      <c r="M519">
        <f>IF(B519="","",IF(K519&lt;&gt;"","Shipped",IF(F519&lt;&gt;"","Ordered, awaiting tracking","NOT ORDERED")))</f>
        <v/>
      </c>
    </row>
    <row r="520">
      <c r="C520">
        <f>IF(B520="","",RIGHT(B520,7))</f>
        <v/>
      </c>
      <c r="L520">
        <f>IF(OR(A520="",K520=""),"",K520-A520)</f>
        <v/>
      </c>
      <c r="M520">
        <f>IF(B520="","",IF(K520&lt;&gt;"","Shipped",IF(F520&lt;&gt;"","Ordered, awaiting tracking","NOT ORDERED")))</f>
        <v/>
      </c>
    </row>
    <row r="521">
      <c r="C521">
        <f>IF(B521="","",RIGHT(B521,7))</f>
        <v/>
      </c>
      <c r="L521">
        <f>IF(OR(A521="",K521=""),"",K521-A521)</f>
        <v/>
      </c>
      <c r="M521">
        <f>IF(B521="","",IF(K521&lt;&gt;"","Shipped",IF(F521&lt;&gt;"","Ordered, awaiting tracking","NOT ORDERED")))</f>
        <v/>
      </c>
    </row>
    <row r="522">
      <c r="C522">
        <f>IF(B522="","",RIGHT(B522,7))</f>
        <v/>
      </c>
      <c r="L522">
        <f>IF(OR(A522="",K522=""),"",K522-A522)</f>
        <v/>
      </c>
      <c r="M522">
        <f>IF(B522="","",IF(K522&lt;&gt;"","Shipped",IF(F522&lt;&gt;"","Ordered, awaiting tracking","NOT ORDERED")))</f>
        <v/>
      </c>
    </row>
    <row r="523">
      <c r="C523">
        <f>IF(B523="","",RIGHT(B523,7))</f>
        <v/>
      </c>
      <c r="L523">
        <f>IF(OR(A523="",K523=""),"",K523-A523)</f>
        <v/>
      </c>
      <c r="M523">
        <f>IF(B523="","",IF(K523&lt;&gt;"","Shipped",IF(F523&lt;&gt;"","Ordered, awaiting tracking","NOT ORDERED")))</f>
        <v/>
      </c>
    </row>
    <row r="524">
      <c r="C524">
        <f>IF(B524="","",RIGHT(B524,7))</f>
        <v/>
      </c>
      <c r="L524">
        <f>IF(OR(A524="",K524=""),"",K524-A524)</f>
        <v/>
      </c>
      <c r="M524">
        <f>IF(B524="","",IF(K524&lt;&gt;"","Shipped",IF(F524&lt;&gt;"","Ordered, awaiting tracking","NOT ORDERED")))</f>
        <v/>
      </c>
    </row>
    <row r="525">
      <c r="C525">
        <f>IF(B525="","",RIGHT(B525,7))</f>
        <v/>
      </c>
      <c r="L525">
        <f>IF(OR(A525="",K525=""),"",K525-A525)</f>
        <v/>
      </c>
      <c r="M525">
        <f>IF(B525="","",IF(K525&lt;&gt;"","Shipped",IF(F525&lt;&gt;"","Ordered, awaiting tracking","NOT ORDERED")))</f>
        <v/>
      </c>
    </row>
    <row r="526">
      <c r="C526">
        <f>IF(B526="","",RIGHT(B526,7))</f>
        <v/>
      </c>
      <c r="L526">
        <f>IF(OR(A526="",K526=""),"",K526-A526)</f>
        <v/>
      </c>
      <c r="M526">
        <f>IF(B526="","",IF(K526&lt;&gt;"","Shipped",IF(F526&lt;&gt;"","Ordered, awaiting tracking","NOT ORDERED")))</f>
        <v/>
      </c>
    </row>
    <row r="527">
      <c r="C527">
        <f>IF(B527="","",RIGHT(B527,7))</f>
        <v/>
      </c>
      <c r="L527">
        <f>IF(OR(A527="",K527=""),"",K527-A527)</f>
        <v/>
      </c>
      <c r="M527">
        <f>IF(B527="","",IF(K527&lt;&gt;"","Shipped",IF(F527&lt;&gt;"","Ordered, awaiting tracking","NOT ORDERED")))</f>
        <v/>
      </c>
    </row>
    <row r="528">
      <c r="C528">
        <f>IF(B528="","",RIGHT(B528,7))</f>
        <v/>
      </c>
      <c r="L528">
        <f>IF(OR(A528="",K528=""),"",K528-A528)</f>
        <v/>
      </c>
      <c r="M528">
        <f>IF(B528="","",IF(K528&lt;&gt;"","Shipped",IF(F528&lt;&gt;"","Ordered, awaiting tracking","NOT ORDERED")))</f>
        <v/>
      </c>
    </row>
    <row r="529">
      <c r="C529">
        <f>IF(B529="","",RIGHT(B529,7))</f>
        <v/>
      </c>
      <c r="L529">
        <f>IF(OR(A529="",K529=""),"",K529-A529)</f>
        <v/>
      </c>
      <c r="M529">
        <f>IF(B529="","",IF(K529&lt;&gt;"","Shipped",IF(F529&lt;&gt;"","Ordered, awaiting tracking","NOT ORDERED")))</f>
        <v/>
      </c>
    </row>
    <row r="530">
      <c r="C530">
        <f>IF(B530="","",RIGHT(B530,7))</f>
        <v/>
      </c>
      <c r="L530">
        <f>IF(OR(A530="",K530=""),"",K530-A530)</f>
        <v/>
      </c>
      <c r="M530">
        <f>IF(B530="","",IF(K530&lt;&gt;"","Shipped",IF(F530&lt;&gt;"","Ordered, awaiting tracking","NOT ORDERED")))</f>
        <v/>
      </c>
    </row>
    <row r="531">
      <c r="C531">
        <f>IF(B531="","",RIGHT(B531,7))</f>
        <v/>
      </c>
      <c r="L531">
        <f>IF(OR(A531="",K531=""),"",K531-A531)</f>
        <v/>
      </c>
      <c r="M531">
        <f>IF(B531="","",IF(K531&lt;&gt;"","Shipped",IF(F531&lt;&gt;"","Ordered, awaiting tracking","NOT ORDERED")))</f>
        <v/>
      </c>
    </row>
    <row r="532">
      <c r="C532">
        <f>IF(B532="","",RIGHT(B532,7))</f>
        <v/>
      </c>
      <c r="L532">
        <f>IF(OR(A532="",K532=""),"",K532-A532)</f>
        <v/>
      </c>
      <c r="M532">
        <f>IF(B532="","",IF(K532&lt;&gt;"","Shipped",IF(F532&lt;&gt;"","Ordered, awaiting tracking","NOT ORDERED")))</f>
        <v/>
      </c>
    </row>
    <row r="533">
      <c r="C533">
        <f>IF(B533="","",RIGHT(B533,7))</f>
        <v/>
      </c>
      <c r="L533">
        <f>IF(OR(A533="",K533=""),"",K533-A533)</f>
        <v/>
      </c>
      <c r="M533">
        <f>IF(B533="","",IF(K533&lt;&gt;"","Shipped",IF(F533&lt;&gt;"","Ordered, awaiting tracking","NOT ORDERED")))</f>
        <v/>
      </c>
    </row>
    <row r="534">
      <c r="C534">
        <f>IF(B534="","",RIGHT(B534,7))</f>
        <v/>
      </c>
      <c r="L534">
        <f>IF(OR(A534="",K534=""),"",K534-A534)</f>
        <v/>
      </c>
      <c r="M534">
        <f>IF(B534="","",IF(K534&lt;&gt;"","Shipped",IF(F534&lt;&gt;"","Ordered, awaiting tracking","NOT ORDERED")))</f>
        <v/>
      </c>
    </row>
    <row r="535">
      <c r="C535">
        <f>IF(B535="","",RIGHT(B535,7))</f>
        <v/>
      </c>
      <c r="L535">
        <f>IF(OR(A535="",K535=""),"",K535-A535)</f>
        <v/>
      </c>
      <c r="M535">
        <f>IF(B535="","",IF(K535&lt;&gt;"","Shipped",IF(F535&lt;&gt;"","Ordered, awaiting tracking","NOT ORDERED")))</f>
        <v/>
      </c>
    </row>
    <row r="536">
      <c r="C536">
        <f>IF(B536="","",RIGHT(B536,7))</f>
        <v/>
      </c>
      <c r="L536">
        <f>IF(OR(A536="",K536=""),"",K536-A536)</f>
        <v/>
      </c>
      <c r="M536">
        <f>IF(B536="","",IF(K536&lt;&gt;"","Shipped",IF(F536&lt;&gt;"","Ordered, awaiting tracking","NOT ORDERED")))</f>
        <v/>
      </c>
    </row>
    <row r="537">
      <c r="C537">
        <f>IF(B537="","",RIGHT(B537,7))</f>
        <v/>
      </c>
      <c r="L537">
        <f>IF(OR(A537="",K537=""),"",K537-A537)</f>
        <v/>
      </c>
      <c r="M537">
        <f>IF(B537="","",IF(K537&lt;&gt;"","Shipped",IF(F537&lt;&gt;"","Ordered, awaiting tracking","NOT ORDERED")))</f>
        <v/>
      </c>
    </row>
    <row r="538">
      <c r="C538">
        <f>IF(B538="","",RIGHT(B538,7))</f>
        <v/>
      </c>
      <c r="L538">
        <f>IF(OR(A538="",K538=""),"",K538-A538)</f>
        <v/>
      </c>
      <c r="M538">
        <f>IF(B538="","",IF(K538&lt;&gt;"","Shipped",IF(F538&lt;&gt;"","Ordered, awaiting tracking","NOT ORDERED")))</f>
        <v/>
      </c>
    </row>
    <row r="539">
      <c r="C539">
        <f>IF(B539="","",RIGHT(B539,7))</f>
        <v/>
      </c>
      <c r="L539">
        <f>IF(OR(A539="",K539=""),"",K539-A539)</f>
        <v/>
      </c>
      <c r="M539">
        <f>IF(B539="","",IF(K539&lt;&gt;"","Shipped",IF(F539&lt;&gt;"","Ordered, awaiting tracking","NOT ORDERED")))</f>
        <v/>
      </c>
    </row>
    <row r="540">
      <c r="C540">
        <f>IF(B540="","",RIGHT(B540,7))</f>
        <v/>
      </c>
      <c r="L540">
        <f>IF(OR(A540="",K540=""),"",K540-A540)</f>
        <v/>
      </c>
      <c r="M540">
        <f>IF(B540="","",IF(K540&lt;&gt;"","Shipped",IF(F540&lt;&gt;"","Ordered, awaiting tracking","NOT ORDERED")))</f>
        <v/>
      </c>
    </row>
    <row r="541">
      <c r="C541">
        <f>IF(B541="","",RIGHT(B541,7))</f>
        <v/>
      </c>
      <c r="L541">
        <f>IF(OR(A541="",K541=""),"",K541-A541)</f>
        <v/>
      </c>
      <c r="M541">
        <f>IF(B541="","",IF(K541&lt;&gt;"","Shipped",IF(F541&lt;&gt;"","Ordered, awaiting tracking","NOT ORDERED")))</f>
        <v/>
      </c>
    </row>
    <row r="542">
      <c r="C542">
        <f>IF(B542="","",RIGHT(B542,7))</f>
        <v/>
      </c>
      <c r="L542">
        <f>IF(OR(A542="",K542=""),"",K542-A542)</f>
        <v/>
      </c>
      <c r="M542">
        <f>IF(B542="","",IF(K542&lt;&gt;"","Shipped",IF(F542&lt;&gt;"","Ordered, awaiting tracking","NOT ORDERED")))</f>
        <v/>
      </c>
    </row>
    <row r="543">
      <c r="C543">
        <f>IF(B543="","",RIGHT(B543,7))</f>
        <v/>
      </c>
      <c r="L543">
        <f>IF(OR(A543="",K543=""),"",K543-A543)</f>
        <v/>
      </c>
      <c r="M543">
        <f>IF(B543="","",IF(K543&lt;&gt;"","Shipped",IF(F543&lt;&gt;"","Ordered, awaiting tracking","NOT ORDERED")))</f>
        <v/>
      </c>
    </row>
    <row r="544">
      <c r="C544">
        <f>IF(B544="","",RIGHT(B544,7))</f>
        <v/>
      </c>
      <c r="L544">
        <f>IF(OR(A544="",K544=""),"",K544-A544)</f>
        <v/>
      </c>
      <c r="M544">
        <f>IF(B544="","",IF(K544&lt;&gt;"","Shipped",IF(F544&lt;&gt;"","Ordered, awaiting tracking","NOT ORDERED")))</f>
        <v/>
      </c>
    </row>
    <row r="545">
      <c r="C545">
        <f>IF(B545="","",RIGHT(B545,7))</f>
        <v/>
      </c>
      <c r="L545">
        <f>IF(OR(A545="",K545=""),"",K545-A545)</f>
        <v/>
      </c>
      <c r="M545">
        <f>IF(B545="","",IF(K545&lt;&gt;"","Shipped",IF(F545&lt;&gt;"","Ordered, awaiting tracking","NOT ORDERED")))</f>
        <v/>
      </c>
    </row>
    <row r="546">
      <c r="C546">
        <f>IF(B546="","",RIGHT(B546,7))</f>
        <v/>
      </c>
      <c r="L546">
        <f>IF(OR(A546="",K546=""),"",K546-A546)</f>
        <v/>
      </c>
      <c r="M546">
        <f>IF(B546="","",IF(K546&lt;&gt;"","Shipped",IF(F546&lt;&gt;"","Ordered, awaiting tracking","NOT ORDERED")))</f>
        <v/>
      </c>
    </row>
    <row r="547">
      <c r="C547">
        <f>IF(B547="","",RIGHT(B547,7))</f>
        <v/>
      </c>
      <c r="L547">
        <f>IF(OR(A547="",K547=""),"",K547-A547)</f>
        <v/>
      </c>
      <c r="M547">
        <f>IF(B547="","",IF(K547&lt;&gt;"","Shipped",IF(F547&lt;&gt;"","Ordered, awaiting tracking","NOT ORDERED")))</f>
        <v/>
      </c>
    </row>
    <row r="548">
      <c r="C548">
        <f>IF(B548="","",RIGHT(B548,7))</f>
        <v/>
      </c>
      <c r="L548">
        <f>IF(OR(A548="",K548=""),"",K548-A548)</f>
        <v/>
      </c>
      <c r="M548">
        <f>IF(B548="","",IF(K548&lt;&gt;"","Shipped",IF(F548&lt;&gt;"","Ordered, awaiting tracking","NOT ORDERED")))</f>
        <v/>
      </c>
    </row>
    <row r="549">
      <c r="C549">
        <f>IF(B549="","",RIGHT(B549,7))</f>
        <v/>
      </c>
      <c r="L549">
        <f>IF(OR(A549="",K549=""),"",K549-A549)</f>
        <v/>
      </c>
      <c r="M549">
        <f>IF(B549="","",IF(K549&lt;&gt;"","Shipped",IF(F549&lt;&gt;"","Ordered, awaiting tracking","NOT ORDERED")))</f>
        <v/>
      </c>
    </row>
    <row r="550">
      <c r="C550">
        <f>IF(B550="","",RIGHT(B550,7))</f>
        <v/>
      </c>
      <c r="L550">
        <f>IF(OR(A550="",K550=""),"",K550-A550)</f>
        <v/>
      </c>
      <c r="M550">
        <f>IF(B550="","",IF(K550&lt;&gt;"","Shipped",IF(F550&lt;&gt;"","Ordered, awaiting tracking","NOT ORDERED")))</f>
        <v/>
      </c>
    </row>
    <row r="551">
      <c r="C551">
        <f>IF(B551="","",RIGHT(B551,7))</f>
        <v/>
      </c>
      <c r="L551">
        <f>IF(OR(A551="",K551=""),"",K551-A551)</f>
        <v/>
      </c>
      <c r="M551">
        <f>IF(B551="","",IF(K551&lt;&gt;"","Shipped",IF(F551&lt;&gt;"","Ordered, awaiting tracking","NOT ORDERED")))</f>
        <v/>
      </c>
    </row>
    <row r="552">
      <c r="C552">
        <f>IF(B552="","",RIGHT(B552,7))</f>
        <v/>
      </c>
      <c r="L552">
        <f>IF(OR(A552="",K552=""),"",K552-A552)</f>
        <v/>
      </c>
      <c r="M552">
        <f>IF(B552="","",IF(K552&lt;&gt;"","Shipped",IF(F552&lt;&gt;"","Ordered, awaiting tracking","NOT ORDERED")))</f>
        <v/>
      </c>
    </row>
    <row r="553">
      <c r="C553">
        <f>IF(B553="","",RIGHT(B553,7))</f>
        <v/>
      </c>
      <c r="L553">
        <f>IF(OR(A553="",K553=""),"",K553-A553)</f>
        <v/>
      </c>
      <c r="M553">
        <f>IF(B553="","",IF(K553&lt;&gt;"","Shipped",IF(F553&lt;&gt;"","Ordered, awaiting tracking","NOT ORDERED")))</f>
        <v/>
      </c>
    </row>
    <row r="554">
      <c r="C554">
        <f>IF(B554="","",RIGHT(B554,7))</f>
        <v/>
      </c>
      <c r="L554">
        <f>IF(OR(A554="",K554=""),"",K554-A554)</f>
        <v/>
      </c>
      <c r="M554">
        <f>IF(B554="","",IF(K554&lt;&gt;"","Shipped",IF(F554&lt;&gt;"","Ordered, awaiting tracking","NOT ORDERED")))</f>
        <v/>
      </c>
    </row>
    <row r="555">
      <c r="C555">
        <f>IF(B555="","",RIGHT(B555,7))</f>
        <v/>
      </c>
      <c r="L555">
        <f>IF(OR(A555="",K555=""),"",K555-A555)</f>
        <v/>
      </c>
      <c r="M555">
        <f>IF(B555="","",IF(K555&lt;&gt;"","Shipped",IF(F555&lt;&gt;"","Ordered, awaiting tracking","NOT ORDERED")))</f>
        <v/>
      </c>
    </row>
    <row r="556">
      <c r="C556">
        <f>IF(B556="","",RIGHT(B556,7))</f>
        <v/>
      </c>
      <c r="L556">
        <f>IF(OR(A556="",K556=""),"",K556-A556)</f>
        <v/>
      </c>
      <c r="M556">
        <f>IF(B556="","",IF(K556&lt;&gt;"","Shipped",IF(F556&lt;&gt;"","Ordered, awaiting tracking","NOT ORDERED")))</f>
        <v/>
      </c>
    </row>
    <row r="557">
      <c r="C557">
        <f>IF(B557="","",RIGHT(B557,7))</f>
        <v/>
      </c>
      <c r="L557">
        <f>IF(OR(A557="",K557=""),"",K557-A557)</f>
        <v/>
      </c>
      <c r="M557">
        <f>IF(B557="","",IF(K557&lt;&gt;"","Shipped",IF(F557&lt;&gt;"","Ordered, awaiting tracking","NOT ORDERED")))</f>
        <v/>
      </c>
    </row>
    <row r="558">
      <c r="C558">
        <f>IF(B558="","",RIGHT(B558,7))</f>
        <v/>
      </c>
      <c r="L558">
        <f>IF(OR(A558="",K558=""),"",K558-A558)</f>
        <v/>
      </c>
      <c r="M558">
        <f>IF(B558="","",IF(K558&lt;&gt;"","Shipped",IF(F558&lt;&gt;"","Ordered, awaiting tracking","NOT ORDERED")))</f>
        <v/>
      </c>
    </row>
    <row r="559">
      <c r="C559">
        <f>IF(B559="","",RIGHT(B559,7))</f>
        <v/>
      </c>
      <c r="L559">
        <f>IF(OR(A559="",K559=""),"",K559-A559)</f>
        <v/>
      </c>
      <c r="M559">
        <f>IF(B559="","",IF(K559&lt;&gt;"","Shipped",IF(F559&lt;&gt;"","Ordered, awaiting tracking","NOT ORDERED")))</f>
        <v/>
      </c>
    </row>
    <row r="560">
      <c r="C560">
        <f>IF(B560="","",RIGHT(B560,7))</f>
        <v/>
      </c>
      <c r="L560">
        <f>IF(OR(A560="",K560=""),"",K560-A560)</f>
        <v/>
      </c>
      <c r="M560">
        <f>IF(B560="","",IF(K560&lt;&gt;"","Shipped",IF(F560&lt;&gt;"","Ordered, awaiting tracking","NOT ORDERED")))</f>
        <v/>
      </c>
    </row>
    <row r="561">
      <c r="C561">
        <f>IF(B561="","",RIGHT(B561,7))</f>
        <v/>
      </c>
      <c r="L561">
        <f>IF(OR(A561="",K561=""),"",K561-A561)</f>
        <v/>
      </c>
      <c r="M561">
        <f>IF(B561="","",IF(K561&lt;&gt;"","Shipped",IF(F561&lt;&gt;"","Ordered, awaiting tracking","NOT ORDERED")))</f>
        <v/>
      </c>
    </row>
    <row r="562">
      <c r="C562">
        <f>IF(B562="","",RIGHT(B562,7))</f>
        <v/>
      </c>
      <c r="L562">
        <f>IF(OR(A562="",K562=""),"",K562-A562)</f>
        <v/>
      </c>
      <c r="M562">
        <f>IF(B562="","",IF(K562&lt;&gt;"","Shipped",IF(F562&lt;&gt;"","Ordered, awaiting tracking","NOT ORDERED")))</f>
        <v/>
      </c>
    </row>
    <row r="563">
      <c r="C563">
        <f>IF(B563="","",RIGHT(B563,7))</f>
        <v/>
      </c>
      <c r="L563">
        <f>IF(OR(A563="",K563=""),"",K563-A563)</f>
        <v/>
      </c>
      <c r="M563">
        <f>IF(B563="","",IF(K563&lt;&gt;"","Shipped",IF(F563&lt;&gt;"","Ordered, awaiting tracking","NOT ORDERED")))</f>
        <v/>
      </c>
    </row>
    <row r="564">
      <c r="C564">
        <f>IF(B564="","",RIGHT(B564,7))</f>
        <v/>
      </c>
      <c r="L564">
        <f>IF(OR(A564="",K564=""),"",K564-A564)</f>
        <v/>
      </c>
      <c r="M564">
        <f>IF(B564="","",IF(K564&lt;&gt;"","Shipped",IF(F564&lt;&gt;"","Ordered, awaiting tracking","NOT ORDERED")))</f>
        <v/>
      </c>
    </row>
    <row r="565">
      <c r="C565">
        <f>IF(B565="","",RIGHT(B565,7))</f>
        <v/>
      </c>
      <c r="L565">
        <f>IF(OR(A565="",K565=""),"",K565-A565)</f>
        <v/>
      </c>
      <c r="M565">
        <f>IF(B565="","",IF(K565&lt;&gt;"","Shipped",IF(F565&lt;&gt;"","Ordered, awaiting tracking","NOT ORDERED")))</f>
        <v/>
      </c>
    </row>
    <row r="566">
      <c r="C566">
        <f>IF(B566="","",RIGHT(B566,7))</f>
        <v/>
      </c>
      <c r="L566">
        <f>IF(OR(A566="",K566=""),"",K566-A566)</f>
        <v/>
      </c>
      <c r="M566">
        <f>IF(B566="","",IF(K566&lt;&gt;"","Shipped",IF(F566&lt;&gt;"","Ordered, awaiting tracking","NOT ORDERED")))</f>
        <v/>
      </c>
    </row>
    <row r="567">
      <c r="C567">
        <f>IF(B567="","",RIGHT(B567,7))</f>
        <v/>
      </c>
      <c r="L567">
        <f>IF(OR(A567="",K567=""),"",K567-A567)</f>
        <v/>
      </c>
      <c r="M567">
        <f>IF(B567="","",IF(K567&lt;&gt;"","Shipped",IF(F567&lt;&gt;"","Ordered, awaiting tracking","NOT ORDERED")))</f>
        <v/>
      </c>
    </row>
    <row r="568">
      <c r="C568">
        <f>IF(B568="","",RIGHT(B568,7))</f>
        <v/>
      </c>
      <c r="L568">
        <f>IF(OR(A568="",K568=""),"",K568-A568)</f>
        <v/>
      </c>
      <c r="M568">
        <f>IF(B568="","",IF(K568&lt;&gt;"","Shipped",IF(F568&lt;&gt;"","Ordered, awaiting tracking","NOT ORDERED")))</f>
        <v/>
      </c>
    </row>
    <row r="569">
      <c r="C569">
        <f>IF(B569="","",RIGHT(B569,7))</f>
        <v/>
      </c>
      <c r="L569">
        <f>IF(OR(A569="",K569=""),"",K569-A569)</f>
        <v/>
      </c>
      <c r="M569">
        <f>IF(B569="","",IF(K569&lt;&gt;"","Shipped",IF(F569&lt;&gt;"","Ordered, awaiting tracking","NOT ORDERED")))</f>
        <v/>
      </c>
    </row>
    <row r="570">
      <c r="C570">
        <f>IF(B570="","",RIGHT(B570,7))</f>
        <v/>
      </c>
      <c r="L570">
        <f>IF(OR(A570="",K570=""),"",K570-A570)</f>
        <v/>
      </c>
      <c r="M570">
        <f>IF(B570="","",IF(K570&lt;&gt;"","Shipped",IF(F570&lt;&gt;"","Ordered, awaiting tracking","NOT ORDERED")))</f>
        <v/>
      </c>
    </row>
    <row r="571">
      <c r="C571">
        <f>IF(B571="","",RIGHT(B571,7))</f>
        <v/>
      </c>
      <c r="L571">
        <f>IF(OR(A571="",K571=""),"",K571-A571)</f>
        <v/>
      </c>
      <c r="M571">
        <f>IF(B571="","",IF(K571&lt;&gt;"","Shipped",IF(F571&lt;&gt;"","Ordered, awaiting tracking","NOT ORDERED")))</f>
        <v/>
      </c>
    </row>
    <row r="572">
      <c r="C572">
        <f>IF(B572="","",RIGHT(B572,7))</f>
        <v/>
      </c>
      <c r="L572">
        <f>IF(OR(A572="",K572=""),"",K572-A572)</f>
        <v/>
      </c>
      <c r="M572">
        <f>IF(B572="","",IF(K572&lt;&gt;"","Shipped",IF(F572&lt;&gt;"","Ordered, awaiting tracking","NOT ORDERED")))</f>
        <v/>
      </c>
    </row>
    <row r="573">
      <c r="C573">
        <f>IF(B573="","",RIGHT(B573,7))</f>
        <v/>
      </c>
      <c r="L573">
        <f>IF(OR(A573="",K573=""),"",K573-A573)</f>
        <v/>
      </c>
      <c r="M573">
        <f>IF(B573="","",IF(K573&lt;&gt;"","Shipped",IF(F573&lt;&gt;"","Ordered, awaiting tracking","NOT ORDERED")))</f>
        <v/>
      </c>
    </row>
    <row r="574">
      <c r="C574">
        <f>IF(B574="","",RIGHT(B574,7))</f>
        <v/>
      </c>
      <c r="L574">
        <f>IF(OR(A574="",K574=""),"",K574-A574)</f>
        <v/>
      </c>
      <c r="M574">
        <f>IF(B574="","",IF(K574&lt;&gt;"","Shipped",IF(F574&lt;&gt;"","Ordered, awaiting tracking","NOT ORDERED")))</f>
        <v/>
      </c>
    </row>
    <row r="575">
      <c r="C575">
        <f>IF(B575="","",RIGHT(B575,7))</f>
        <v/>
      </c>
      <c r="L575">
        <f>IF(OR(A575="",K575=""),"",K575-A575)</f>
        <v/>
      </c>
      <c r="M575">
        <f>IF(B575="","",IF(K575&lt;&gt;"","Shipped",IF(F575&lt;&gt;"","Ordered, awaiting tracking","NOT ORDERED")))</f>
        <v/>
      </c>
    </row>
    <row r="576">
      <c r="C576">
        <f>IF(B576="","",RIGHT(B576,7))</f>
        <v/>
      </c>
      <c r="L576">
        <f>IF(OR(A576="",K576=""),"",K576-A576)</f>
        <v/>
      </c>
      <c r="M576">
        <f>IF(B576="","",IF(K576&lt;&gt;"","Shipped",IF(F576&lt;&gt;"","Ordered, awaiting tracking","NOT ORDERED")))</f>
        <v/>
      </c>
    </row>
    <row r="577">
      <c r="C577">
        <f>IF(B577="","",RIGHT(B577,7))</f>
        <v/>
      </c>
      <c r="L577">
        <f>IF(OR(A577="",K577=""),"",K577-A577)</f>
        <v/>
      </c>
      <c r="M577">
        <f>IF(B577="","",IF(K577&lt;&gt;"","Shipped",IF(F577&lt;&gt;"","Ordered, awaiting tracking","NOT ORDERED")))</f>
        <v/>
      </c>
    </row>
    <row r="578">
      <c r="C578">
        <f>IF(B578="","",RIGHT(B578,7))</f>
        <v/>
      </c>
      <c r="L578">
        <f>IF(OR(A578="",K578=""),"",K578-A578)</f>
        <v/>
      </c>
      <c r="M578">
        <f>IF(B578="","",IF(K578&lt;&gt;"","Shipped",IF(F578&lt;&gt;"","Ordered, awaiting tracking","NOT ORDERED")))</f>
        <v/>
      </c>
    </row>
    <row r="579">
      <c r="C579">
        <f>IF(B579="","",RIGHT(B579,7))</f>
        <v/>
      </c>
      <c r="L579">
        <f>IF(OR(A579="",K579=""),"",K579-A579)</f>
        <v/>
      </c>
      <c r="M579">
        <f>IF(B579="","",IF(K579&lt;&gt;"","Shipped",IF(F579&lt;&gt;"","Ordered, awaiting tracking","NOT ORDERED")))</f>
        <v/>
      </c>
    </row>
    <row r="580">
      <c r="C580">
        <f>IF(B580="","",RIGHT(B580,7))</f>
        <v/>
      </c>
      <c r="L580">
        <f>IF(OR(A580="",K580=""),"",K580-A580)</f>
        <v/>
      </c>
      <c r="M580">
        <f>IF(B580="","",IF(K580&lt;&gt;"","Shipped",IF(F580&lt;&gt;"","Ordered, awaiting tracking","NOT ORDERED")))</f>
        <v/>
      </c>
    </row>
    <row r="581">
      <c r="C581">
        <f>IF(B581="","",RIGHT(B581,7))</f>
        <v/>
      </c>
      <c r="L581">
        <f>IF(OR(A581="",K581=""),"",K581-A581)</f>
        <v/>
      </c>
      <c r="M581">
        <f>IF(B581="","",IF(K581&lt;&gt;"","Shipped",IF(F581&lt;&gt;"","Ordered, awaiting tracking","NOT ORDERED")))</f>
        <v/>
      </c>
    </row>
    <row r="582">
      <c r="C582">
        <f>IF(B582="","",RIGHT(B582,7))</f>
        <v/>
      </c>
      <c r="L582">
        <f>IF(OR(A582="",K582=""),"",K582-A582)</f>
        <v/>
      </c>
      <c r="M582">
        <f>IF(B582="","",IF(K582&lt;&gt;"","Shipped",IF(F582&lt;&gt;"","Ordered, awaiting tracking","NOT ORDERED")))</f>
        <v/>
      </c>
    </row>
    <row r="583">
      <c r="C583">
        <f>IF(B583="","",RIGHT(B583,7))</f>
        <v/>
      </c>
      <c r="L583">
        <f>IF(OR(A583="",K583=""),"",K583-A583)</f>
        <v/>
      </c>
      <c r="M583">
        <f>IF(B583="","",IF(K583&lt;&gt;"","Shipped",IF(F583&lt;&gt;"","Ordered, awaiting tracking","NOT ORDERED")))</f>
        <v/>
      </c>
    </row>
    <row r="584">
      <c r="C584">
        <f>IF(B584="","",RIGHT(B584,7))</f>
        <v/>
      </c>
      <c r="L584">
        <f>IF(OR(A584="",K584=""),"",K584-A584)</f>
        <v/>
      </c>
      <c r="M584">
        <f>IF(B584="","",IF(K584&lt;&gt;"","Shipped",IF(F584&lt;&gt;"","Ordered, awaiting tracking","NOT ORDERED")))</f>
        <v/>
      </c>
    </row>
    <row r="585">
      <c r="C585">
        <f>IF(B585="","",RIGHT(B585,7))</f>
        <v/>
      </c>
      <c r="L585">
        <f>IF(OR(A585="",K585=""),"",K585-A585)</f>
        <v/>
      </c>
      <c r="M585">
        <f>IF(B585="","",IF(K585&lt;&gt;"","Shipped",IF(F585&lt;&gt;"","Ordered, awaiting tracking","NOT ORDERED")))</f>
        <v/>
      </c>
    </row>
    <row r="586">
      <c r="C586">
        <f>IF(B586="","",RIGHT(B586,7))</f>
        <v/>
      </c>
      <c r="L586">
        <f>IF(OR(A586="",K586=""),"",K586-A586)</f>
        <v/>
      </c>
      <c r="M586">
        <f>IF(B586="","",IF(K586&lt;&gt;"","Shipped",IF(F586&lt;&gt;"","Ordered, awaiting tracking","NOT ORDERED")))</f>
        <v/>
      </c>
    </row>
    <row r="587">
      <c r="C587">
        <f>IF(B587="","",RIGHT(B587,7))</f>
        <v/>
      </c>
      <c r="L587">
        <f>IF(OR(A587="",K587=""),"",K587-A587)</f>
        <v/>
      </c>
      <c r="M587">
        <f>IF(B587="","",IF(K587&lt;&gt;"","Shipped",IF(F587&lt;&gt;"","Ordered, awaiting tracking","NOT ORDERED")))</f>
        <v/>
      </c>
    </row>
    <row r="588">
      <c r="C588">
        <f>IF(B588="","",RIGHT(B588,7))</f>
        <v/>
      </c>
      <c r="L588">
        <f>IF(OR(A588="",K588=""),"",K588-A588)</f>
        <v/>
      </c>
      <c r="M588">
        <f>IF(B588="","",IF(K588&lt;&gt;"","Shipped",IF(F588&lt;&gt;"","Ordered, awaiting tracking","NOT ORDERED")))</f>
        <v/>
      </c>
    </row>
    <row r="589">
      <c r="C589">
        <f>IF(B589="","",RIGHT(B589,7))</f>
        <v/>
      </c>
      <c r="L589">
        <f>IF(OR(A589="",K589=""),"",K589-A589)</f>
        <v/>
      </c>
      <c r="M589">
        <f>IF(B589="","",IF(K589&lt;&gt;"","Shipped",IF(F589&lt;&gt;"","Ordered, awaiting tracking","NOT ORDERED")))</f>
        <v/>
      </c>
    </row>
    <row r="590">
      <c r="C590">
        <f>IF(B590="","",RIGHT(B590,7))</f>
        <v/>
      </c>
      <c r="L590">
        <f>IF(OR(A590="",K590=""),"",K590-A590)</f>
        <v/>
      </c>
      <c r="M590">
        <f>IF(B590="","",IF(K590&lt;&gt;"","Shipped",IF(F590&lt;&gt;"","Ordered, awaiting tracking","NOT ORDERED")))</f>
        <v/>
      </c>
    </row>
    <row r="591">
      <c r="C591">
        <f>IF(B591="","",RIGHT(B591,7))</f>
        <v/>
      </c>
      <c r="L591">
        <f>IF(OR(A591="",K591=""),"",K591-A591)</f>
        <v/>
      </c>
      <c r="M591">
        <f>IF(B591="","",IF(K591&lt;&gt;"","Shipped",IF(F591&lt;&gt;"","Ordered, awaiting tracking","NOT ORDERED")))</f>
        <v/>
      </c>
    </row>
    <row r="592">
      <c r="C592">
        <f>IF(B592="","",RIGHT(B592,7))</f>
        <v/>
      </c>
      <c r="L592">
        <f>IF(OR(A592="",K592=""),"",K592-A592)</f>
        <v/>
      </c>
      <c r="M592">
        <f>IF(B592="","",IF(K592&lt;&gt;"","Shipped",IF(F592&lt;&gt;"","Ordered, awaiting tracking","NOT ORDERED")))</f>
        <v/>
      </c>
    </row>
    <row r="593">
      <c r="C593">
        <f>IF(B593="","",RIGHT(B593,7))</f>
        <v/>
      </c>
      <c r="L593">
        <f>IF(OR(A593="",K593=""),"",K593-A593)</f>
        <v/>
      </c>
      <c r="M593">
        <f>IF(B593="","",IF(K593&lt;&gt;"","Shipped",IF(F593&lt;&gt;"","Ordered, awaiting tracking","NOT ORDERED")))</f>
        <v/>
      </c>
    </row>
    <row r="594">
      <c r="C594">
        <f>IF(B594="","",RIGHT(B594,7))</f>
        <v/>
      </c>
      <c r="L594">
        <f>IF(OR(A594="",K594=""),"",K594-A594)</f>
        <v/>
      </c>
      <c r="M594">
        <f>IF(B594="","",IF(K594&lt;&gt;"","Shipped",IF(F594&lt;&gt;"","Ordered, awaiting tracking","NOT ORDERED")))</f>
        <v/>
      </c>
    </row>
    <row r="595">
      <c r="C595">
        <f>IF(B595="","",RIGHT(B595,7))</f>
        <v/>
      </c>
      <c r="L595">
        <f>IF(OR(A595="",K595=""),"",K595-A595)</f>
        <v/>
      </c>
      <c r="M595">
        <f>IF(B595="","",IF(K595&lt;&gt;"","Shipped",IF(F595&lt;&gt;"","Ordered, awaiting tracking","NOT ORDERED")))</f>
        <v/>
      </c>
    </row>
    <row r="596">
      <c r="C596">
        <f>IF(B596="","",RIGHT(B596,7))</f>
        <v/>
      </c>
      <c r="L596">
        <f>IF(OR(A596="",K596=""),"",K596-A596)</f>
        <v/>
      </c>
      <c r="M596">
        <f>IF(B596="","",IF(K596&lt;&gt;"","Shipped",IF(F596&lt;&gt;"","Ordered, awaiting tracking","NOT ORDERED")))</f>
        <v/>
      </c>
    </row>
    <row r="597">
      <c r="C597">
        <f>IF(B597="","",RIGHT(B597,7))</f>
        <v/>
      </c>
      <c r="L597">
        <f>IF(OR(A597="",K597=""),"",K597-A597)</f>
        <v/>
      </c>
      <c r="M597">
        <f>IF(B597="","",IF(K597&lt;&gt;"","Shipped",IF(F597&lt;&gt;"","Ordered, awaiting tracking","NOT ORDERED")))</f>
        <v/>
      </c>
    </row>
    <row r="598">
      <c r="C598">
        <f>IF(B598="","",RIGHT(B598,7))</f>
        <v/>
      </c>
      <c r="L598">
        <f>IF(OR(A598="",K598=""),"",K598-A598)</f>
        <v/>
      </c>
      <c r="M598">
        <f>IF(B598="","",IF(K598&lt;&gt;"","Shipped",IF(F598&lt;&gt;"","Ordered, awaiting tracking","NOT ORDERED")))</f>
        <v/>
      </c>
    </row>
    <row r="599">
      <c r="C599">
        <f>IF(B599="","",RIGHT(B599,7))</f>
        <v/>
      </c>
      <c r="L599">
        <f>IF(OR(A599="",K599=""),"",K599-A599)</f>
        <v/>
      </c>
      <c r="M599">
        <f>IF(B599="","",IF(K599&lt;&gt;"","Shipped",IF(F599&lt;&gt;"","Ordered, awaiting tracking","NOT ORDERED")))</f>
        <v/>
      </c>
    </row>
    <row r="600">
      <c r="C600">
        <f>IF(B600="","",RIGHT(B600,7))</f>
        <v/>
      </c>
      <c r="L600">
        <f>IF(OR(A600="",K600=""),"",K600-A600)</f>
        <v/>
      </c>
      <c r="M600">
        <f>IF(B600="","",IF(K600&lt;&gt;"","Shipped",IF(F600&lt;&gt;"","Ordered, awaiting tracking","NOT ORDERED")))</f>
        <v/>
      </c>
    </row>
    <row r="601">
      <c r="C601">
        <f>IF(B601="","",RIGHT(B601,7))</f>
        <v/>
      </c>
      <c r="L601">
        <f>IF(OR(A601="",K601=""),"",K601-A601)</f>
        <v/>
      </c>
      <c r="M601">
        <f>IF(B601="","",IF(K601&lt;&gt;"","Shipped",IF(F601&lt;&gt;"","Ordered, awaiting tracking","NOT ORDERED")))</f>
        <v/>
      </c>
    </row>
    <row r="602">
      <c r="C602">
        <f>IF(B602="","",RIGHT(B602,7))</f>
        <v/>
      </c>
      <c r="L602">
        <f>IF(OR(A602="",K602=""),"",K602-A602)</f>
        <v/>
      </c>
      <c r="M602">
        <f>IF(B602="","",IF(K602&lt;&gt;"","Shipped",IF(F602&lt;&gt;"","Ordered, awaiting tracking","NOT ORDERED")))</f>
        <v/>
      </c>
    </row>
    <row r="603">
      <c r="C603">
        <f>IF(B603="","",RIGHT(B603,7))</f>
        <v/>
      </c>
      <c r="L603">
        <f>IF(OR(A603="",K603=""),"",K603-A603)</f>
        <v/>
      </c>
      <c r="M603">
        <f>IF(B603="","",IF(K603&lt;&gt;"","Shipped",IF(F603&lt;&gt;"","Ordered, awaiting tracking","NOT ORDERED")))</f>
        <v/>
      </c>
    </row>
    <row r="604">
      <c r="C604">
        <f>IF(B604="","",RIGHT(B604,7))</f>
        <v/>
      </c>
      <c r="L604">
        <f>IF(OR(A604="",K604=""),"",K604-A604)</f>
        <v/>
      </c>
      <c r="M604">
        <f>IF(B604="","",IF(K604&lt;&gt;"","Shipped",IF(F604&lt;&gt;"","Ordered, awaiting tracking","NOT ORDERED")))</f>
        <v/>
      </c>
    </row>
    <row r="605">
      <c r="C605">
        <f>IF(B605="","",RIGHT(B605,7))</f>
        <v/>
      </c>
      <c r="L605">
        <f>IF(OR(A605="",K605=""),"",K605-A605)</f>
        <v/>
      </c>
      <c r="M605">
        <f>IF(B605="","",IF(K605&lt;&gt;"","Shipped",IF(F605&lt;&gt;"","Ordered, awaiting tracking","NOT ORDERED")))</f>
        <v/>
      </c>
    </row>
    <row r="606">
      <c r="C606">
        <f>IF(B606="","",RIGHT(B606,7))</f>
        <v/>
      </c>
      <c r="L606">
        <f>IF(OR(A606="",K606=""),"",K606-A606)</f>
        <v/>
      </c>
      <c r="M606">
        <f>IF(B606="","",IF(K606&lt;&gt;"","Shipped",IF(F606&lt;&gt;"","Ordered, awaiting tracking","NOT ORDERED")))</f>
        <v/>
      </c>
    </row>
    <row r="607">
      <c r="C607">
        <f>IF(B607="","",RIGHT(B607,7))</f>
        <v/>
      </c>
      <c r="L607">
        <f>IF(OR(A607="",K607=""),"",K607-A607)</f>
        <v/>
      </c>
      <c r="M607">
        <f>IF(B607="","",IF(K607&lt;&gt;"","Shipped",IF(F607&lt;&gt;"","Ordered, awaiting tracking","NOT ORDERED")))</f>
        <v/>
      </c>
    </row>
    <row r="608">
      <c r="C608">
        <f>IF(B608="","",RIGHT(B608,7))</f>
        <v/>
      </c>
      <c r="L608">
        <f>IF(OR(A608="",K608=""),"",K608-A608)</f>
        <v/>
      </c>
      <c r="M608">
        <f>IF(B608="","",IF(K608&lt;&gt;"","Shipped",IF(F608&lt;&gt;"","Ordered, awaiting tracking","NOT ORDERED")))</f>
        <v/>
      </c>
    </row>
    <row r="609">
      <c r="C609">
        <f>IF(B609="","",RIGHT(B609,7))</f>
        <v/>
      </c>
      <c r="L609">
        <f>IF(OR(A609="",K609=""),"",K609-A609)</f>
        <v/>
      </c>
      <c r="M609">
        <f>IF(B609="","",IF(K609&lt;&gt;"","Shipped",IF(F609&lt;&gt;"","Ordered, awaiting tracking","NOT ORDERED")))</f>
        <v/>
      </c>
    </row>
    <row r="610">
      <c r="C610">
        <f>IF(B610="","",RIGHT(B610,7))</f>
        <v/>
      </c>
      <c r="L610">
        <f>IF(OR(A610="",K610=""),"",K610-A610)</f>
        <v/>
      </c>
      <c r="M610">
        <f>IF(B610="","",IF(K610&lt;&gt;"","Shipped",IF(F610&lt;&gt;"","Ordered, awaiting tracking","NOT ORDERED")))</f>
        <v/>
      </c>
    </row>
    <row r="611">
      <c r="C611">
        <f>IF(B611="","",RIGHT(B611,7))</f>
        <v/>
      </c>
      <c r="L611">
        <f>IF(OR(A611="",K611=""),"",K611-A611)</f>
        <v/>
      </c>
      <c r="M611">
        <f>IF(B611="","",IF(K611&lt;&gt;"","Shipped",IF(F611&lt;&gt;"","Ordered, awaiting tracking","NOT ORDERED")))</f>
        <v/>
      </c>
    </row>
    <row r="612">
      <c r="C612">
        <f>IF(B612="","",RIGHT(B612,7))</f>
        <v/>
      </c>
      <c r="L612">
        <f>IF(OR(A612="",K612=""),"",K612-A612)</f>
        <v/>
      </c>
      <c r="M612">
        <f>IF(B612="","",IF(K612&lt;&gt;"","Shipped",IF(F612&lt;&gt;"","Ordered, awaiting tracking","NOT ORDERED")))</f>
        <v/>
      </c>
    </row>
    <row r="613">
      <c r="C613">
        <f>IF(B613="","",RIGHT(B613,7))</f>
        <v/>
      </c>
      <c r="L613">
        <f>IF(OR(A613="",K613=""),"",K613-A613)</f>
        <v/>
      </c>
      <c r="M613">
        <f>IF(B613="","",IF(K613&lt;&gt;"","Shipped",IF(F613&lt;&gt;"","Ordered, awaiting tracking","NOT ORDERED")))</f>
        <v/>
      </c>
    </row>
    <row r="614">
      <c r="C614">
        <f>IF(B614="","",RIGHT(B614,7))</f>
        <v/>
      </c>
      <c r="L614">
        <f>IF(OR(A614="",K614=""),"",K614-A614)</f>
        <v/>
      </c>
      <c r="M614">
        <f>IF(B614="","",IF(K614&lt;&gt;"","Shipped",IF(F614&lt;&gt;"","Ordered, awaiting tracking","NOT ORDERED")))</f>
        <v/>
      </c>
    </row>
    <row r="615">
      <c r="C615">
        <f>IF(B615="","",RIGHT(B615,7))</f>
        <v/>
      </c>
      <c r="L615">
        <f>IF(OR(A615="",K615=""),"",K615-A615)</f>
        <v/>
      </c>
      <c r="M615">
        <f>IF(B615="","",IF(K615&lt;&gt;"","Shipped",IF(F615&lt;&gt;"","Ordered, awaiting tracking","NOT ORDERED")))</f>
        <v/>
      </c>
    </row>
    <row r="616">
      <c r="C616">
        <f>IF(B616="","",RIGHT(B616,7))</f>
        <v/>
      </c>
      <c r="L616">
        <f>IF(OR(A616="",K616=""),"",K616-A616)</f>
        <v/>
      </c>
      <c r="M616">
        <f>IF(B616="","",IF(K616&lt;&gt;"","Shipped",IF(F616&lt;&gt;"","Ordered, awaiting tracking","NOT ORDERED")))</f>
        <v/>
      </c>
    </row>
    <row r="617">
      <c r="C617">
        <f>IF(B617="","",RIGHT(B617,7))</f>
        <v/>
      </c>
      <c r="L617">
        <f>IF(OR(A617="",K617=""),"",K617-A617)</f>
        <v/>
      </c>
      <c r="M617">
        <f>IF(B617="","",IF(K617&lt;&gt;"","Shipped",IF(F617&lt;&gt;"","Ordered, awaiting tracking","NOT ORDERED")))</f>
        <v/>
      </c>
    </row>
    <row r="618">
      <c r="C618">
        <f>IF(B618="","",RIGHT(B618,7))</f>
        <v/>
      </c>
      <c r="L618">
        <f>IF(OR(A618="",K618=""),"",K618-A618)</f>
        <v/>
      </c>
      <c r="M618">
        <f>IF(B618="","",IF(K618&lt;&gt;"","Shipped",IF(F618&lt;&gt;"","Ordered, awaiting tracking","NOT ORDERED")))</f>
        <v/>
      </c>
    </row>
    <row r="619">
      <c r="C619">
        <f>IF(B619="","",RIGHT(B619,7))</f>
        <v/>
      </c>
      <c r="L619">
        <f>IF(OR(A619="",K619=""),"",K619-A619)</f>
        <v/>
      </c>
      <c r="M619">
        <f>IF(B619="","",IF(K619&lt;&gt;"","Shipped",IF(F619&lt;&gt;"","Ordered, awaiting tracking","NOT ORDERED")))</f>
        <v/>
      </c>
    </row>
    <row r="620">
      <c r="C620">
        <f>IF(B620="","",RIGHT(B620,7))</f>
        <v/>
      </c>
      <c r="L620">
        <f>IF(OR(A620="",K620=""),"",K620-A620)</f>
        <v/>
      </c>
      <c r="M620">
        <f>IF(B620="","",IF(K620&lt;&gt;"","Shipped",IF(F620&lt;&gt;"","Ordered, awaiting tracking","NOT ORDERED")))</f>
        <v/>
      </c>
    </row>
    <row r="621">
      <c r="C621">
        <f>IF(B621="","",RIGHT(B621,7))</f>
        <v/>
      </c>
      <c r="L621">
        <f>IF(OR(A621="",K621=""),"",K621-A621)</f>
        <v/>
      </c>
      <c r="M621">
        <f>IF(B621="","",IF(K621&lt;&gt;"","Shipped",IF(F621&lt;&gt;"","Ordered, awaiting tracking","NOT ORDERED")))</f>
        <v/>
      </c>
    </row>
    <row r="622">
      <c r="C622">
        <f>IF(B622="","",RIGHT(B622,7))</f>
        <v/>
      </c>
      <c r="L622">
        <f>IF(OR(A622="",K622=""),"",K622-A622)</f>
        <v/>
      </c>
      <c r="M622">
        <f>IF(B622="","",IF(K622&lt;&gt;"","Shipped",IF(F622&lt;&gt;"","Ordered, awaiting tracking","NOT ORDERED")))</f>
        <v/>
      </c>
    </row>
    <row r="623">
      <c r="C623">
        <f>IF(B623="","",RIGHT(B623,7))</f>
        <v/>
      </c>
      <c r="L623">
        <f>IF(OR(A623="",K623=""),"",K623-A623)</f>
        <v/>
      </c>
      <c r="M623">
        <f>IF(B623="","",IF(K623&lt;&gt;"","Shipped",IF(F623&lt;&gt;"","Ordered, awaiting tracking","NOT ORDERED")))</f>
        <v/>
      </c>
    </row>
    <row r="624">
      <c r="C624">
        <f>IF(B624="","",RIGHT(B624,7))</f>
        <v/>
      </c>
      <c r="L624">
        <f>IF(OR(A624="",K624=""),"",K624-A624)</f>
        <v/>
      </c>
      <c r="M624">
        <f>IF(B624="","",IF(K624&lt;&gt;"","Shipped",IF(F624&lt;&gt;"","Ordered, awaiting tracking","NOT ORDERED")))</f>
        <v/>
      </c>
    </row>
    <row r="625">
      <c r="C625">
        <f>IF(B625="","",RIGHT(B625,7))</f>
        <v/>
      </c>
      <c r="L625">
        <f>IF(OR(A625="",K625=""),"",K625-A625)</f>
        <v/>
      </c>
      <c r="M625">
        <f>IF(B625="","",IF(K625&lt;&gt;"","Shipped",IF(F625&lt;&gt;"","Ordered, awaiting tracking","NOT ORDERED")))</f>
        <v/>
      </c>
    </row>
    <row r="626">
      <c r="C626">
        <f>IF(B626="","",RIGHT(B626,7))</f>
        <v/>
      </c>
      <c r="L626">
        <f>IF(OR(A626="",K626=""),"",K626-A626)</f>
        <v/>
      </c>
      <c r="M626">
        <f>IF(B626="","",IF(K626&lt;&gt;"","Shipped",IF(F626&lt;&gt;"","Ordered, awaiting tracking","NOT ORDERED")))</f>
        <v/>
      </c>
    </row>
    <row r="627">
      <c r="C627">
        <f>IF(B627="","",RIGHT(B627,7))</f>
        <v/>
      </c>
      <c r="L627">
        <f>IF(OR(A627="",K627=""),"",K627-A627)</f>
        <v/>
      </c>
      <c r="M627">
        <f>IF(B627="","",IF(K627&lt;&gt;"","Shipped",IF(F627&lt;&gt;"","Ordered, awaiting tracking","NOT ORDERED")))</f>
        <v/>
      </c>
    </row>
    <row r="628">
      <c r="C628">
        <f>IF(B628="","",RIGHT(B628,7))</f>
        <v/>
      </c>
      <c r="L628">
        <f>IF(OR(A628="",K628=""),"",K628-A628)</f>
        <v/>
      </c>
      <c r="M628">
        <f>IF(B628="","",IF(K628&lt;&gt;"","Shipped",IF(F628&lt;&gt;"","Ordered, awaiting tracking","NOT ORDERED")))</f>
        <v/>
      </c>
    </row>
    <row r="629">
      <c r="C629">
        <f>IF(B629="","",RIGHT(B629,7))</f>
        <v/>
      </c>
      <c r="L629">
        <f>IF(OR(A629="",K629=""),"",K629-A629)</f>
        <v/>
      </c>
      <c r="M629">
        <f>IF(B629="","",IF(K629&lt;&gt;"","Shipped",IF(F629&lt;&gt;"","Ordered, awaiting tracking","NOT ORDERED")))</f>
        <v/>
      </c>
    </row>
    <row r="630">
      <c r="C630">
        <f>IF(B630="","",RIGHT(B630,7))</f>
        <v/>
      </c>
      <c r="L630">
        <f>IF(OR(A630="",K630=""),"",K630-A630)</f>
        <v/>
      </c>
      <c r="M630">
        <f>IF(B630="","",IF(K630&lt;&gt;"","Shipped",IF(F630&lt;&gt;"","Ordered, awaiting tracking","NOT ORDERED")))</f>
        <v/>
      </c>
    </row>
    <row r="631">
      <c r="C631">
        <f>IF(B631="","",RIGHT(B631,7))</f>
        <v/>
      </c>
      <c r="L631">
        <f>IF(OR(A631="",K631=""),"",K631-A631)</f>
        <v/>
      </c>
      <c r="M631">
        <f>IF(B631="","",IF(K631&lt;&gt;"","Shipped",IF(F631&lt;&gt;"","Ordered, awaiting tracking","NOT ORDERED")))</f>
        <v/>
      </c>
    </row>
    <row r="632">
      <c r="C632">
        <f>IF(B632="","",RIGHT(B632,7))</f>
        <v/>
      </c>
      <c r="L632">
        <f>IF(OR(A632="",K632=""),"",K632-A632)</f>
        <v/>
      </c>
      <c r="M632">
        <f>IF(B632="","",IF(K632&lt;&gt;"","Shipped",IF(F632&lt;&gt;"","Ordered, awaiting tracking","NOT ORDERED")))</f>
        <v/>
      </c>
    </row>
    <row r="633">
      <c r="C633">
        <f>IF(B633="","",RIGHT(B633,7))</f>
        <v/>
      </c>
      <c r="L633">
        <f>IF(OR(A633="",K633=""),"",K633-A633)</f>
        <v/>
      </c>
      <c r="M633">
        <f>IF(B633="","",IF(K633&lt;&gt;"","Shipped",IF(F633&lt;&gt;"","Ordered, awaiting tracking","NOT ORDERED")))</f>
        <v/>
      </c>
    </row>
    <row r="634">
      <c r="C634">
        <f>IF(B634="","",RIGHT(B634,7))</f>
        <v/>
      </c>
      <c r="L634">
        <f>IF(OR(A634="",K634=""),"",K634-A634)</f>
        <v/>
      </c>
      <c r="M634">
        <f>IF(B634="","",IF(K634&lt;&gt;"","Shipped",IF(F634&lt;&gt;"","Ordered, awaiting tracking","NOT ORDERED")))</f>
        <v/>
      </c>
    </row>
    <row r="635">
      <c r="C635">
        <f>IF(B635="","",RIGHT(B635,7))</f>
        <v/>
      </c>
      <c r="L635">
        <f>IF(OR(A635="",K635=""),"",K635-A635)</f>
        <v/>
      </c>
      <c r="M635">
        <f>IF(B635="","",IF(K635&lt;&gt;"","Shipped",IF(F635&lt;&gt;"","Ordered, awaiting tracking","NOT ORDERED")))</f>
        <v/>
      </c>
    </row>
    <row r="636">
      <c r="C636">
        <f>IF(B636="","",RIGHT(B636,7))</f>
        <v/>
      </c>
      <c r="L636">
        <f>IF(OR(A636="",K636=""),"",K636-A636)</f>
        <v/>
      </c>
      <c r="M636">
        <f>IF(B636="","",IF(K636&lt;&gt;"","Shipped",IF(F636&lt;&gt;"","Ordered, awaiting tracking","NOT ORDERED")))</f>
        <v/>
      </c>
    </row>
    <row r="637">
      <c r="C637">
        <f>IF(B637="","",RIGHT(B637,7))</f>
        <v/>
      </c>
      <c r="L637">
        <f>IF(OR(A637="",K637=""),"",K637-A637)</f>
        <v/>
      </c>
      <c r="M637">
        <f>IF(B637="","",IF(K637&lt;&gt;"","Shipped",IF(F637&lt;&gt;"","Ordered, awaiting tracking","NOT ORDERED")))</f>
        <v/>
      </c>
    </row>
    <row r="638">
      <c r="C638">
        <f>IF(B638="","",RIGHT(B638,7))</f>
        <v/>
      </c>
      <c r="L638">
        <f>IF(OR(A638="",K638=""),"",K638-A638)</f>
        <v/>
      </c>
      <c r="M638">
        <f>IF(B638="","",IF(K638&lt;&gt;"","Shipped",IF(F638&lt;&gt;"","Ordered, awaiting tracking","NOT ORDERED")))</f>
        <v/>
      </c>
    </row>
    <row r="639">
      <c r="C639">
        <f>IF(B639="","",RIGHT(B639,7))</f>
        <v/>
      </c>
      <c r="L639">
        <f>IF(OR(A639="",K639=""),"",K639-A639)</f>
        <v/>
      </c>
      <c r="M639">
        <f>IF(B639="","",IF(K639&lt;&gt;"","Shipped",IF(F639&lt;&gt;"","Ordered, awaiting tracking","NOT ORDERED")))</f>
        <v/>
      </c>
    </row>
    <row r="640">
      <c r="C640">
        <f>IF(B640="","",RIGHT(B640,7))</f>
        <v/>
      </c>
      <c r="L640">
        <f>IF(OR(A640="",K640=""),"",K640-A640)</f>
        <v/>
      </c>
      <c r="M640">
        <f>IF(B640="","",IF(K640&lt;&gt;"","Shipped",IF(F640&lt;&gt;"","Ordered, awaiting tracking","NOT ORDERED")))</f>
        <v/>
      </c>
    </row>
    <row r="641">
      <c r="C641">
        <f>IF(B641="","",RIGHT(B641,7))</f>
        <v/>
      </c>
      <c r="L641">
        <f>IF(OR(A641="",K641=""),"",K641-A641)</f>
        <v/>
      </c>
      <c r="M641">
        <f>IF(B641="","",IF(K641&lt;&gt;"","Shipped",IF(F641&lt;&gt;"","Ordered, awaiting tracking","NOT ORDERED")))</f>
        <v/>
      </c>
    </row>
    <row r="642">
      <c r="C642">
        <f>IF(B642="","",RIGHT(B642,7))</f>
        <v/>
      </c>
      <c r="L642">
        <f>IF(OR(A642="",K642=""),"",K642-A642)</f>
        <v/>
      </c>
      <c r="M642">
        <f>IF(B642="","",IF(K642&lt;&gt;"","Shipped",IF(F642&lt;&gt;"","Ordered, awaiting tracking","NOT ORDERED")))</f>
        <v/>
      </c>
    </row>
    <row r="643">
      <c r="C643">
        <f>IF(B643="","",RIGHT(B643,7))</f>
        <v/>
      </c>
      <c r="L643">
        <f>IF(OR(A643="",K643=""),"",K643-A643)</f>
        <v/>
      </c>
      <c r="M643">
        <f>IF(B643="","",IF(K643&lt;&gt;"","Shipped",IF(F643&lt;&gt;"","Ordered, awaiting tracking","NOT ORDERED")))</f>
        <v/>
      </c>
    </row>
    <row r="644">
      <c r="C644">
        <f>IF(B644="","",RIGHT(B644,7))</f>
        <v/>
      </c>
      <c r="L644">
        <f>IF(OR(A644="",K644=""),"",K644-A644)</f>
        <v/>
      </c>
      <c r="M644">
        <f>IF(B644="","",IF(K644&lt;&gt;"","Shipped",IF(F644&lt;&gt;"","Ordered, awaiting tracking","NOT ORDERED")))</f>
        <v/>
      </c>
    </row>
    <row r="645">
      <c r="C645">
        <f>IF(B645="","",RIGHT(B645,7))</f>
        <v/>
      </c>
      <c r="L645">
        <f>IF(OR(A645="",K645=""),"",K645-A645)</f>
        <v/>
      </c>
      <c r="M645">
        <f>IF(B645="","",IF(K645&lt;&gt;"","Shipped",IF(F645&lt;&gt;"","Ordered, awaiting tracking","NOT ORDERED")))</f>
        <v/>
      </c>
    </row>
    <row r="646">
      <c r="C646">
        <f>IF(B646="","",RIGHT(B646,7))</f>
        <v/>
      </c>
      <c r="L646">
        <f>IF(OR(A646="",K646=""),"",K646-A646)</f>
        <v/>
      </c>
      <c r="M646">
        <f>IF(B646="","",IF(K646&lt;&gt;"","Shipped",IF(F646&lt;&gt;"","Ordered, awaiting tracking","NOT ORDERED")))</f>
        <v/>
      </c>
    </row>
    <row r="647">
      <c r="C647">
        <f>IF(B647="","",RIGHT(B647,7))</f>
        <v/>
      </c>
      <c r="L647">
        <f>IF(OR(A647="",K647=""),"",K647-A647)</f>
        <v/>
      </c>
      <c r="M647">
        <f>IF(B647="","",IF(K647&lt;&gt;"","Shipped",IF(F647&lt;&gt;"","Ordered, awaiting tracking","NOT ORDERED")))</f>
        <v/>
      </c>
    </row>
    <row r="648">
      <c r="C648">
        <f>IF(B648="","",RIGHT(B648,7))</f>
        <v/>
      </c>
      <c r="L648">
        <f>IF(OR(A648="",K648=""),"",K648-A648)</f>
        <v/>
      </c>
      <c r="M648">
        <f>IF(B648="","",IF(K648&lt;&gt;"","Shipped",IF(F648&lt;&gt;"","Ordered, awaiting tracking","NOT ORDERED")))</f>
        <v/>
      </c>
    </row>
    <row r="649">
      <c r="C649">
        <f>IF(B649="","",RIGHT(B649,7))</f>
        <v/>
      </c>
      <c r="L649">
        <f>IF(OR(A649="",K649=""),"",K649-A649)</f>
        <v/>
      </c>
      <c r="M649">
        <f>IF(B649="","",IF(K649&lt;&gt;"","Shipped",IF(F649&lt;&gt;"","Ordered, awaiting tracking","NOT ORDERED")))</f>
        <v/>
      </c>
    </row>
    <row r="650">
      <c r="C650">
        <f>IF(B650="","",RIGHT(B650,7))</f>
        <v/>
      </c>
      <c r="L650">
        <f>IF(OR(A650="",K650=""),"",K650-A650)</f>
        <v/>
      </c>
      <c r="M650">
        <f>IF(B650="","",IF(K650&lt;&gt;"","Shipped",IF(F650&lt;&gt;"","Ordered, awaiting tracking","NOT ORDERED")))</f>
        <v/>
      </c>
    </row>
    <row r="651">
      <c r="C651">
        <f>IF(B651="","",RIGHT(B651,7))</f>
        <v/>
      </c>
      <c r="L651">
        <f>IF(OR(A651="",K651=""),"",K651-A651)</f>
        <v/>
      </c>
      <c r="M651">
        <f>IF(B651="","",IF(K651&lt;&gt;"","Shipped",IF(F651&lt;&gt;"","Ordered, awaiting tracking","NOT ORDERED")))</f>
        <v/>
      </c>
    </row>
    <row r="652">
      <c r="C652">
        <f>IF(B652="","",RIGHT(B652,7))</f>
        <v/>
      </c>
      <c r="L652">
        <f>IF(OR(A652="",K652=""),"",K652-A652)</f>
        <v/>
      </c>
      <c r="M652">
        <f>IF(B652="","",IF(K652&lt;&gt;"","Shipped",IF(F652&lt;&gt;"","Ordered, awaiting tracking","NOT ORDERED")))</f>
        <v/>
      </c>
    </row>
    <row r="653">
      <c r="C653">
        <f>IF(B653="","",RIGHT(B653,7))</f>
        <v/>
      </c>
      <c r="L653">
        <f>IF(OR(A653="",K653=""),"",K653-A653)</f>
        <v/>
      </c>
      <c r="M653">
        <f>IF(B653="","",IF(K653&lt;&gt;"","Shipped",IF(F653&lt;&gt;"","Ordered, awaiting tracking","NOT ORDERED")))</f>
        <v/>
      </c>
    </row>
    <row r="654">
      <c r="C654">
        <f>IF(B654="","",RIGHT(B654,7))</f>
        <v/>
      </c>
      <c r="L654">
        <f>IF(OR(A654="",K654=""),"",K654-A654)</f>
        <v/>
      </c>
      <c r="M654">
        <f>IF(B654="","",IF(K654&lt;&gt;"","Shipped",IF(F654&lt;&gt;"","Ordered, awaiting tracking","NOT ORDERED")))</f>
        <v/>
      </c>
    </row>
    <row r="655">
      <c r="C655">
        <f>IF(B655="","",RIGHT(B655,7))</f>
        <v/>
      </c>
      <c r="L655">
        <f>IF(OR(A655="",K655=""),"",K655-A655)</f>
        <v/>
      </c>
      <c r="M655">
        <f>IF(B655="","",IF(K655&lt;&gt;"","Shipped",IF(F655&lt;&gt;"","Ordered, awaiting tracking","NOT ORDERED")))</f>
        <v/>
      </c>
    </row>
    <row r="656">
      <c r="C656">
        <f>IF(B656="","",RIGHT(B656,7))</f>
        <v/>
      </c>
      <c r="L656">
        <f>IF(OR(A656="",K656=""),"",K656-A656)</f>
        <v/>
      </c>
      <c r="M656">
        <f>IF(B656="","",IF(K656&lt;&gt;"","Shipped",IF(F656&lt;&gt;"","Ordered, awaiting tracking","NOT ORDERED")))</f>
        <v/>
      </c>
    </row>
    <row r="657">
      <c r="C657">
        <f>IF(B657="","",RIGHT(B657,7))</f>
        <v/>
      </c>
      <c r="L657">
        <f>IF(OR(A657="",K657=""),"",K657-A657)</f>
        <v/>
      </c>
      <c r="M657">
        <f>IF(B657="","",IF(K657&lt;&gt;"","Shipped",IF(F657&lt;&gt;"","Ordered, awaiting tracking","NOT ORDERED")))</f>
        <v/>
      </c>
    </row>
    <row r="658">
      <c r="C658">
        <f>IF(B658="","",RIGHT(B658,7))</f>
        <v/>
      </c>
      <c r="L658">
        <f>IF(OR(A658="",K658=""),"",K658-A658)</f>
        <v/>
      </c>
      <c r="M658">
        <f>IF(B658="","",IF(K658&lt;&gt;"","Shipped",IF(F658&lt;&gt;"","Ordered, awaiting tracking","NOT ORDERED")))</f>
        <v/>
      </c>
    </row>
    <row r="659">
      <c r="C659">
        <f>IF(B659="","",RIGHT(B659,7))</f>
        <v/>
      </c>
      <c r="L659">
        <f>IF(OR(A659="",K659=""),"",K659-A659)</f>
        <v/>
      </c>
      <c r="M659">
        <f>IF(B659="","",IF(K659&lt;&gt;"","Shipped",IF(F659&lt;&gt;"","Ordered, awaiting tracking","NOT ORDERED")))</f>
        <v/>
      </c>
    </row>
    <row r="660">
      <c r="C660">
        <f>IF(B660="","",RIGHT(B660,7))</f>
        <v/>
      </c>
      <c r="L660">
        <f>IF(OR(A660="",K660=""),"",K660-A660)</f>
        <v/>
      </c>
      <c r="M660">
        <f>IF(B660="","",IF(K660&lt;&gt;"","Shipped",IF(F660&lt;&gt;"","Ordered, awaiting tracking","NOT ORDERED")))</f>
        <v/>
      </c>
    </row>
    <row r="661">
      <c r="C661">
        <f>IF(B661="","",RIGHT(B661,7))</f>
        <v/>
      </c>
      <c r="L661">
        <f>IF(OR(A661="",K661=""),"",K661-A661)</f>
        <v/>
      </c>
      <c r="M661">
        <f>IF(B661="","",IF(K661&lt;&gt;"","Shipped",IF(F661&lt;&gt;"","Ordered, awaiting tracking","NOT ORDERED")))</f>
        <v/>
      </c>
    </row>
    <row r="662">
      <c r="C662">
        <f>IF(B662="","",RIGHT(B662,7))</f>
        <v/>
      </c>
      <c r="L662">
        <f>IF(OR(A662="",K662=""),"",K662-A662)</f>
        <v/>
      </c>
      <c r="M662">
        <f>IF(B662="","",IF(K662&lt;&gt;"","Shipped",IF(F662&lt;&gt;"","Ordered, awaiting tracking","NOT ORDERED")))</f>
        <v/>
      </c>
    </row>
    <row r="663">
      <c r="C663">
        <f>IF(B663="","",RIGHT(B663,7))</f>
        <v/>
      </c>
      <c r="L663">
        <f>IF(OR(A663="",K663=""),"",K663-A663)</f>
        <v/>
      </c>
      <c r="M663">
        <f>IF(B663="","",IF(K663&lt;&gt;"","Shipped",IF(F663&lt;&gt;"","Ordered, awaiting tracking","NOT ORDERED")))</f>
        <v/>
      </c>
    </row>
    <row r="664">
      <c r="C664">
        <f>IF(B664="","",RIGHT(B664,7))</f>
        <v/>
      </c>
      <c r="L664">
        <f>IF(OR(A664="",K664=""),"",K664-A664)</f>
        <v/>
      </c>
      <c r="M664">
        <f>IF(B664="","",IF(K664&lt;&gt;"","Shipped",IF(F664&lt;&gt;"","Ordered, awaiting tracking","NOT ORDERED")))</f>
        <v/>
      </c>
    </row>
    <row r="665">
      <c r="C665">
        <f>IF(B665="","",RIGHT(B665,7))</f>
        <v/>
      </c>
      <c r="L665">
        <f>IF(OR(A665="",K665=""),"",K665-A665)</f>
        <v/>
      </c>
      <c r="M665">
        <f>IF(B665="","",IF(K665&lt;&gt;"","Shipped",IF(F665&lt;&gt;"","Ordered, awaiting tracking","NOT ORDERED")))</f>
        <v/>
      </c>
    </row>
    <row r="666">
      <c r="C666">
        <f>IF(B666="","",RIGHT(B666,7))</f>
        <v/>
      </c>
      <c r="L666">
        <f>IF(OR(A666="",K666=""),"",K666-A666)</f>
        <v/>
      </c>
      <c r="M666">
        <f>IF(B666="","",IF(K666&lt;&gt;"","Shipped",IF(F666&lt;&gt;"","Ordered, awaiting tracking","NOT ORDERED")))</f>
        <v/>
      </c>
    </row>
    <row r="667">
      <c r="C667">
        <f>IF(B667="","",RIGHT(B667,7))</f>
        <v/>
      </c>
      <c r="L667">
        <f>IF(OR(A667="",K667=""),"",K667-A667)</f>
        <v/>
      </c>
      <c r="M667">
        <f>IF(B667="","",IF(K667&lt;&gt;"","Shipped",IF(F667&lt;&gt;"","Ordered, awaiting tracking","NOT ORDERED")))</f>
        <v/>
      </c>
    </row>
    <row r="668">
      <c r="C668">
        <f>IF(B668="","",RIGHT(B668,7))</f>
        <v/>
      </c>
      <c r="L668">
        <f>IF(OR(A668="",K668=""),"",K668-A668)</f>
        <v/>
      </c>
      <c r="M668">
        <f>IF(B668="","",IF(K668&lt;&gt;"","Shipped",IF(F668&lt;&gt;"","Ordered, awaiting tracking","NOT ORDERED")))</f>
        <v/>
      </c>
    </row>
    <row r="669">
      <c r="C669">
        <f>IF(B669="","",RIGHT(B669,7))</f>
        <v/>
      </c>
      <c r="L669">
        <f>IF(OR(A669="",K669=""),"",K669-A669)</f>
        <v/>
      </c>
      <c r="M669">
        <f>IF(B669="","",IF(K669&lt;&gt;"","Shipped",IF(F669&lt;&gt;"","Ordered, awaiting tracking","NOT ORDERED")))</f>
        <v/>
      </c>
    </row>
    <row r="670">
      <c r="C670">
        <f>IF(B670="","",RIGHT(B670,7))</f>
        <v/>
      </c>
      <c r="L670">
        <f>IF(OR(A670="",K670=""),"",K670-A670)</f>
        <v/>
      </c>
      <c r="M670">
        <f>IF(B670="","",IF(K670&lt;&gt;"","Shipped",IF(F670&lt;&gt;"","Ordered, awaiting tracking","NOT ORDERED")))</f>
        <v/>
      </c>
    </row>
    <row r="671">
      <c r="C671">
        <f>IF(B671="","",RIGHT(B671,7))</f>
        <v/>
      </c>
      <c r="L671">
        <f>IF(OR(A671="",K671=""),"",K671-A671)</f>
        <v/>
      </c>
      <c r="M671">
        <f>IF(B671="","",IF(K671&lt;&gt;"","Shipped",IF(F671&lt;&gt;"","Ordered, awaiting tracking","NOT ORDERED")))</f>
        <v/>
      </c>
    </row>
    <row r="672">
      <c r="C672">
        <f>IF(B672="","",RIGHT(B672,7))</f>
        <v/>
      </c>
      <c r="L672">
        <f>IF(OR(A672="",K672=""),"",K672-A672)</f>
        <v/>
      </c>
      <c r="M672">
        <f>IF(B672="","",IF(K672&lt;&gt;"","Shipped",IF(F672&lt;&gt;"","Ordered, awaiting tracking","NOT ORDERED")))</f>
        <v/>
      </c>
    </row>
    <row r="673">
      <c r="C673">
        <f>IF(B673="","",RIGHT(B673,7))</f>
        <v/>
      </c>
      <c r="L673">
        <f>IF(OR(A673="",K673=""),"",K673-A673)</f>
        <v/>
      </c>
      <c r="M673">
        <f>IF(B673="","",IF(K673&lt;&gt;"","Shipped",IF(F673&lt;&gt;"","Ordered, awaiting tracking","NOT ORDERED")))</f>
        <v/>
      </c>
    </row>
    <row r="674">
      <c r="C674">
        <f>IF(B674="","",RIGHT(B674,7))</f>
        <v/>
      </c>
      <c r="L674">
        <f>IF(OR(A674="",K674=""),"",K674-A674)</f>
        <v/>
      </c>
      <c r="M674">
        <f>IF(B674="","",IF(K674&lt;&gt;"","Shipped",IF(F674&lt;&gt;"","Ordered, awaiting tracking","NOT ORDERED")))</f>
        <v/>
      </c>
    </row>
    <row r="675">
      <c r="C675">
        <f>IF(B675="","",RIGHT(B675,7))</f>
        <v/>
      </c>
      <c r="L675">
        <f>IF(OR(A675="",K675=""),"",K675-A675)</f>
        <v/>
      </c>
      <c r="M675">
        <f>IF(B675="","",IF(K675&lt;&gt;"","Shipped",IF(F675&lt;&gt;"","Ordered, awaiting tracking","NOT ORDERED")))</f>
        <v/>
      </c>
    </row>
    <row r="676">
      <c r="C676">
        <f>IF(B676="","",RIGHT(B676,7))</f>
        <v/>
      </c>
      <c r="L676">
        <f>IF(OR(A676="",K676=""),"",K676-A676)</f>
        <v/>
      </c>
      <c r="M676">
        <f>IF(B676="","",IF(K676&lt;&gt;"","Shipped",IF(F676&lt;&gt;"","Ordered, awaiting tracking","NOT ORDERED")))</f>
        <v/>
      </c>
    </row>
    <row r="677">
      <c r="C677">
        <f>IF(B677="","",RIGHT(B677,7))</f>
        <v/>
      </c>
      <c r="L677">
        <f>IF(OR(A677="",K677=""),"",K677-A677)</f>
        <v/>
      </c>
      <c r="M677">
        <f>IF(B677="","",IF(K677&lt;&gt;"","Shipped",IF(F677&lt;&gt;"","Ordered, awaiting tracking","NOT ORDERED")))</f>
        <v/>
      </c>
    </row>
    <row r="678">
      <c r="C678">
        <f>IF(B678="","",RIGHT(B678,7))</f>
        <v/>
      </c>
      <c r="L678">
        <f>IF(OR(A678="",K678=""),"",K678-A678)</f>
        <v/>
      </c>
      <c r="M678">
        <f>IF(B678="","",IF(K678&lt;&gt;"","Shipped",IF(F678&lt;&gt;"","Ordered, awaiting tracking","NOT ORDERED")))</f>
        <v/>
      </c>
    </row>
    <row r="679">
      <c r="C679">
        <f>IF(B679="","",RIGHT(B679,7))</f>
        <v/>
      </c>
      <c r="L679">
        <f>IF(OR(A679="",K679=""),"",K679-A679)</f>
        <v/>
      </c>
      <c r="M679">
        <f>IF(B679="","",IF(K679&lt;&gt;"","Shipped",IF(F679&lt;&gt;"","Ordered, awaiting tracking","NOT ORDERED")))</f>
        <v/>
      </c>
    </row>
    <row r="680">
      <c r="C680">
        <f>IF(B680="","",RIGHT(B680,7))</f>
        <v/>
      </c>
      <c r="L680">
        <f>IF(OR(A680="",K680=""),"",K680-A680)</f>
        <v/>
      </c>
      <c r="M680">
        <f>IF(B680="","",IF(K680&lt;&gt;"","Shipped",IF(F680&lt;&gt;"","Ordered, awaiting tracking","NOT ORDERED")))</f>
        <v/>
      </c>
    </row>
    <row r="681">
      <c r="C681">
        <f>IF(B681="","",RIGHT(B681,7))</f>
        <v/>
      </c>
      <c r="L681">
        <f>IF(OR(A681="",K681=""),"",K681-A681)</f>
        <v/>
      </c>
      <c r="M681">
        <f>IF(B681="","",IF(K681&lt;&gt;"","Shipped",IF(F681&lt;&gt;"","Ordered, awaiting tracking","NOT ORDERED")))</f>
        <v/>
      </c>
    </row>
    <row r="682">
      <c r="C682">
        <f>IF(B682="","",RIGHT(B682,7))</f>
        <v/>
      </c>
      <c r="L682">
        <f>IF(OR(A682="",K682=""),"",K682-A682)</f>
        <v/>
      </c>
      <c r="M682">
        <f>IF(B682="","",IF(K682&lt;&gt;"","Shipped",IF(F682&lt;&gt;"","Ordered, awaiting tracking","NOT ORDERED")))</f>
        <v/>
      </c>
    </row>
    <row r="683">
      <c r="C683">
        <f>IF(B683="","",RIGHT(B683,7))</f>
        <v/>
      </c>
      <c r="L683">
        <f>IF(OR(A683="",K683=""),"",K683-A683)</f>
        <v/>
      </c>
      <c r="M683">
        <f>IF(B683="","",IF(K683&lt;&gt;"","Shipped",IF(F683&lt;&gt;"","Ordered, awaiting tracking","NOT ORDERED")))</f>
        <v/>
      </c>
    </row>
    <row r="684">
      <c r="C684">
        <f>IF(B684="","",RIGHT(B684,7))</f>
        <v/>
      </c>
      <c r="L684">
        <f>IF(OR(A684="",K684=""),"",K684-A684)</f>
        <v/>
      </c>
      <c r="M684">
        <f>IF(B684="","",IF(K684&lt;&gt;"","Shipped",IF(F684&lt;&gt;"","Ordered, awaiting tracking","NOT ORDERED")))</f>
        <v/>
      </c>
    </row>
    <row r="685">
      <c r="C685">
        <f>IF(B685="","",RIGHT(B685,7))</f>
        <v/>
      </c>
      <c r="L685">
        <f>IF(OR(A685="",K685=""),"",K685-A685)</f>
        <v/>
      </c>
      <c r="M685">
        <f>IF(B685="","",IF(K685&lt;&gt;"","Shipped",IF(F685&lt;&gt;"","Ordered, awaiting tracking","NOT ORDERED")))</f>
        <v/>
      </c>
    </row>
    <row r="686">
      <c r="C686">
        <f>IF(B686="","",RIGHT(B686,7))</f>
        <v/>
      </c>
      <c r="L686">
        <f>IF(OR(A686="",K686=""),"",K686-A686)</f>
        <v/>
      </c>
      <c r="M686">
        <f>IF(B686="","",IF(K686&lt;&gt;"","Shipped",IF(F686&lt;&gt;"","Ordered, awaiting tracking","NOT ORDERED")))</f>
        <v/>
      </c>
    </row>
    <row r="687">
      <c r="C687">
        <f>IF(B687="","",RIGHT(B687,7))</f>
        <v/>
      </c>
      <c r="L687">
        <f>IF(OR(A687="",K687=""),"",K687-A687)</f>
        <v/>
      </c>
      <c r="M687">
        <f>IF(B687="","",IF(K687&lt;&gt;"","Shipped",IF(F687&lt;&gt;"","Ordered, awaiting tracking","NOT ORDERED")))</f>
        <v/>
      </c>
    </row>
    <row r="688">
      <c r="C688">
        <f>IF(B688="","",RIGHT(B688,7))</f>
        <v/>
      </c>
      <c r="L688">
        <f>IF(OR(A688="",K688=""),"",K688-A688)</f>
        <v/>
      </c>
      <c r="M688">
        <f>IF(B688="","",IF(K688&lt;&gt;"","Shipped",IF(F688&lt;&gt;"","Ordered, awaiting tracking","NOT ORDERED")))</f>
        <v/>
      </c>
    </row>
    <row r="689">
      <c r="C689">
        <f>IF(B689="","",RIGHT(B689,7))</f>
        <v/>
      </c>
      <c r="L689">
        <f>IF(OR(A689="",K689=""),"",K689-A689)</f>
        <v/>
      </c>
      <c r="M689">
        <f>IF(B689="","",IF(K689&lt;&gt;"","Shipped",IF(F689&lt;&gt;"","Ordered, awaiting tracking","NOT ORDERED")))</f>
        <v/>
      </c>
    </row>
    <row r="690">
      <c r="C690">
        <f>IF(B690="","",RIGHT(B690,7))</f>
        <v/>
      </c>
      <c r="L690">
        <f>IF(OR(A690="",K690=""),"",K690-A690)</f>
        <v/>
      </c>
      <c r="M690">
        <f>IF(B690="","",IF(K690&lt;&gt;"","Shipped",IF(F690&lt;&gt;"","Ordered, awaiting tracking","NOT ORDERED")))</f>
        <v/>
      </c>
    </row>
    <row r="691">
      <c r="C691">
        <f>IF(B691="","",RIGHT(B691,7))</f>
        <v/>
      </c>
      <c r="L691">
        <f>IF(OR(A691="",K691=""),"",K691-A691)</f>
        <v/>
      </c>
      <c r="M691">
        <f>IF(B691="","",IF(K691&lt;&gt;"","Shipped",IF(F691&lt;&gt;"","Ordered, awaiting tracking","NOT ORDERED")))</f>
        <v/>
      </c>
    </row>
    <row r="692">
      <c r="C692">
        <f>IF(B692="","",RIGHT(B692,7))</f>
        <v/>
      </c>
      <c r="L692">
        <f>IF(OR(A692="",K692=""),"",K692-A692)</f>
        <v/>
      </c>
      <c r="M692">
        <f>IF(B692="","",IF(K692&lt;&gt;"","Shipped",IF(F692&lt;&gt;"","Ordered, awaiting tracking","NOT ORDERED")))</f>
        <v/>
      </c>
    </row>
    <row r="693">
      <c r="C693">
        <f>IF(B693="","",RIGHT(B693,7))</f>
        <v/>
      </c>
      <c r="L693">
        <f>IF(OR(A693="",K693=""),"",K693-A693)</f>
        <v/>
      </c>
      <c r="M693">
        <f>IF(B693="","",IF(K693&lt;&gt;"","Shipped",IF(F693&lt;&gt;"","Ordered, awaiting tracking","NOT ORDERED")))</f>
        <v/>
      </c>
    </row>
    <row r="694">
      <c r="C694">
        <f>IF(B694="","",RIGHT(B694,7))</f>
        <v/>
      </c>
      <c r="L694">
        <f>IF(OR(A694="",K694=""),"",K694-A694)</f>
        <v/>
      </c>
      <c r="M694">
        <f>IF(B694="","",IF(K694&lt;&gt;"","Shipped",IF(F694&lt;&gt;"","Ordered, awaiting tracking","NOT ORDERED")))</f>
        <v/>
      </c>
    </row>
    <row r="695">
      <c r="C695">
        <f>IF(B695="","",RIGHT(B695,7))</f>
        <v/>
      </c>
      <c r="L695">
        <f>IF(OR(A695="",K695=""),"",K695-A695)</f>
        <v/>
      </c>
      <c r="M695">
        <f>IF(B695="","",IF(K695&lt;&gt;"","Shipped",IF(F695&lt;&gt;"","Ordered, awaiting tracking","NOT ORDERED")))</f>
        <v/>
      </c>
    </row>
    <row r="696">
      <c r="C696">
        <f>IF(B696="","",RIGHT(B696,7))</f>
        <v/>
      </c>
      <c r="L696">
        <f>IF(OR(A696="",K696=""),"",K696-A696)</f>
        <v/>
      </c>
      <c r="M696">
        <f>IF(B696="","",IF(K696&lt;&gt;"","Shipped",IF(F696&lt;&gt;"","Ordered, awaiting tracking","NOT ORDERED")))</f>
        <v/>
      </c>
    </row>
    <row r="697">
      <c r="C697">
        <f>IF(B697="","",RIGHT(B697,7))</f>
        <v/>
      </c>
      <c r="L697">
        <f>IF(OR(A697="",K697=""),"",K697-A697)</f>
        <v/>
      </c>
      <c r="M697">
        <f>IF(B697="","",IF(K697&lt;&gt;"","Shipped",IF(F697&lt;&gt;"","Ordered, awaiting tracking","NOT ORDERED")))</f>
        <v/>
      </c>
    </row>
    <row r="698">
      <c r="C698">
        <f>IF(B698="","",RIGHT(B698,7))</f>
        <v/>
      </c>
      <c r="L698">
        <f>IF(OR(A698="",K698=""),"",K698-A698)</f>
        <v/>
      </c>
      <c r="M698">
        <f>IF(B698="","",IF(K698&lt;&gt;"","Shipped",IF(F698&lt;&gt;"","Ordered, awaiting tracking","NOT ORDERED")))</f>
        <v/>
      </c>
    </row>
    <row r="699">
      <c r="C699">
        <f>IF(B699="","",RIGHT(B699,7))</f>
        <v/>
      </c>
      <c r="L699">
        <f>IF(OR(A699="",K699=""),"",K699-A699)</f>
        <v/>
      </c>
      <c r="M699">
        <f>IF(B699="","",IF(K699&lt;&gt;"","Shipped",IF(F699&lt;&gt;"","Ordered, awaiting tracking","NOT ORDERED")))</f>
        <v/>
      </c>
    </row>
    <row r="700">
      <c r="C700">
        <f>IF(B700="","",RIGHT(B700,7))</f>
        <v/>
      </c>
      <c r="L700">
        <f>IF(OR(A700="",K700=""),"",K700-A700)</f>
        <v/>
      </c>
      <c r="M700">
        <f>IF(B700="","",IF(K700&lt;&gt;"","Shipped",IF(F700&lt;&gt;"","Ordered, awaiting tracking","NOT ORDERED")))</f>
        <v/>
      </c>
    </row>
    <row r="701">
      <c r="C701">
        <f>IF(B701="","",RIGHT(B701,7))</f>
        <v/>
      </c>
      <c r="L701">
        <f>IF(OR(A701="",K701=""),"",K701-A701)</f>
        <v/>
      </c>
      <c r="M701">
        <f>IF(B701="","",IF(K701&lt;&gt;"","Shipped",IF(F701&lt;&gt;"","Ordered, awaiting tracking","NOT ORDERED")))</f>
        <v/>
      </c>
    </row>
    <row r="702">
      <c r="C702">
        <f>IF(B702="","",RIGHT(B702,7))</f>
        <v/>
      </c>
      <c r="L702">
        <f>IF(OR(A702="",K702=""),"",K702-A702)</f>
        <v/>
      </c>
      <c r="M702">
        <f>IF(B702="","",IF(K702&lt;&gt;"","Shipped",IF(F702&lt;&gt;"","Ordered, awaiting tracking","NOT ORDERED")))</f>
        <v/>
      </c>
    </row>
    <row r="703">
      <c r="C703">
        <f>IF(B703="","",RIGHT(B703,7))</f>
        <v/>
      </c>
      <c r="L703">
        <f>IF(OR(A703="",K703=""),"",K703-A703)</f>
        <v/>
      </c>
      <c r="M703">
        <f>IF(B703="","",IF(K703&lt;&gt;"","Shipped",IF(F703&lt;&gt;"","Ordered, awaiting tracking","NOT ORDERED")))</f>
        <v/>
      </c>
    </row>
    <row r="704">
      <c r="C704">
        <f>IF(B704="","",RIGHT(B704,7))</f>
        <v/>
      </c>
      <c r="L704">
        <f>IF(OR(A704="",K704=""),"",K704-A704)</f>
        <v/>
      </c>
      <c r="M704">
        <f>IF(B704="","",IF(K704&lt;&gt;"","Shipped",IF(F704&lt;&gt;"","Ordered, awaiting tracking","NOT ORDERED")))</f>
        <v/>
      </c>
    </row>
    <row r="705">
      <c r="C705">
        <f>IF(B705="","",RIGHT(B705,7))</f>
        <v/>
      </c>
      <c r="L705">
        <f>IF(OR(A705="",K705=""),"",K705-A705)</f>
        <v/>
      </c>
      <c r="M705">
        <f>IF(B705="","",IF(K705&lt;&gt;"","Shipped",IF(F705&lt;&gt;"","Ordered, awaiting tracking","NOT ORDERED")))</f>
        <v/>
      </c>
    </row>
    <row r="706">
      <c r="C706">
        <f>IF(B706="","",RIGHT(B706,7))</f>
        <v/>
      </c>
      <c r="L706">
        <f>IF(OR(A706="",K706=""),"",K706-A706)</f>
        <v/>
      </c>
      <c r="M706">
        <f>IF(B706="","",IF(K706&lt;&gt;"","Shipped",IF(F706&lt;&gt;"","Ordered, awaiting tracking","NOT ORDERED")))</f>
        <v/>
      </c>
    </row>
    <row r="707">
      <c r="C707">
        <f>IF(B707="","",RIGHT(B707,7))</f>
        <v/>
      </c>
      <c r="L707">
        <f>IF(OR(A707="",K707=""),"",K707-A707)</f>
        <v/>
      </c>
      <c r="M707">
        <f>IF(B707="","",IF(K707&lt;&gt;"","Shipped",IF(F707&lt;&gt;"","Ordered, awaiting tracking","NOT ORDERED")))</f>
        <v/>
      </c>
    </row>
    <row r="708">
      <c r="C708">
        <f>IF(B708="","",RIGHT(B708,7))</f>
        <v/>
      </c>
      <c r="L708">
        <f>IF(OR(A708="",K708=""),"",K708-A708)</f>
        <v/>
      </c>
      <c r="M708">
        <f>IF(B708="","",IF(K708&lt;&gt;"","Shipped",IF(F708&lt;&gt;"","Ordered, awaiting tracking","NOT ORDERED")))</f>
        <v/>
      </c>
    </row>
    <row r="709">
      <c r="C709">
        <f>IF(B709="","",RIGHT(B709,7))</f>
        <v/>
      </c>
      <c r="L709">
        <f>IF(OR(A709="",K709=""),"",K709-A709)</f>
        <v/>
      </c>
      <c r="M709">
        <f>IF(B709="","",IF(K709&lt;&gt;"","Shipped",IF(F709&lt;&gt;"","Ordered, awaiting tracking","NOT ORDERED")))</f>
        <v/>
      </c>
    </row>
    <row r="710">
      <c r="C710">
        <f>IF(B710="","",RIGHT(B710,7))</f>
        <v/>
      </c>
      <c r="L710">
        <f>IF(OR(A710="",K710=""),"",K710-A710)</f>
        <v/>
      </c>
      <c r="M710">
        <f>IF(B710="","",IF(K710&lt;&gt;"","Shipped",IF(F710&lt;&gt;"","Ordered, awaiting tracking","NOT ORDERED")))</f>
        <v/>
      </c>
    </row>
    <row r="711">
      <c r="C711">
        <f>IF(B711="","",RIGHT(B711,7))</f>
        <v/>
      </c>
      <c r="L711">
        <f>IF(OR(A711="",K711=""),"",K711-A711)</f>
        <v/>
      </c>
      <c r="M711">
        <f>IF(B711="","",IF(K711&lt;&gt;"","Shipped",IF(F711&lt;&gt;"","Ordered, awaiting tracking","NOT ORDERED")))</f>
        <v/>
      </c>
    </row>
    <row r="712">
      <c r="C712">
        <f>IF(B712="","",RIGHT(B712,7))</f>
        <v/>
      </c>
      <c r="L712">
        <f>IF(OR(A712="",K712=""),"",K712-A712)</f>
        <v/>
      </c>
      <c r="M712">
        <f>IF(B712="","",IF(K712&lt;&gt;"","Shipped",IF(F712&lt;&gt;"","Ordered, awaiting tracking","NOT ORDERED")))</f>
        <v/>
      </c>
    </row>
    <row r="713">
      <c r="C713">
        <f>IF(B713="","",RIGHT(B713,7))</f>
        <v/>
      </c>
      <c r="L713">
        <f>IF(OR(A713="",K713=""),"",K713-A713)</f>
        <v/>
      </c>
      <c r="M713">
        <f>IF(B713="","",IF(K713&lt;&gt;"","Shipped",IF(F713&lt;&gt;"","Ordered, awaiting tracking","NOT ORDERED")))</f>
        <v/>
      </c>
    </row>
    <row r="714">
      <c r="C714">
        <f>IF(B714="","",RIGHT(B714,7))</f>
        <v/>
      </c>
      <c r="L714">
        <f>IF(OR(A714="",K714=""),"",K714-A714)</f>
        <v/>
      </c>
      <c r="M714">
        <f>IF(B714="","",IF(K714&lt;&gt;"","Shipped",IF(F714&lt;&gt;"","Ordered, awaiting tracking","NOT ORDERED")))</f>
        <v/>
      </c>
    </row>
    <row r="715">
      <c r="C715">
        <f>IF(B715="","",RIGHT(B715,7))</f>
        <v/>
      </c>
      <c r="L715">
        <f>IF(OR(A715="",K715=""),"",K715-A715)</f>
        <v/>
      </c>
      <c r="M715">
        <f>IF(B715="","",IF(K715&lt;&gt;"","Shipped",IF(F715&lt;&gt;"","Ordered, awaiting tracking","NOT ORDERED")))</f>
        <v/>
      </c>
    </row>
    <row r="716">
      <c r="C716">
        <f>IF(B716="","",RIGHT(B716,7))</f>
        <v/>
      </c>
      <c r="L716">
        <f>IF(OR(A716="",K716=""),"",K716-A716)</f>
        <v/>
      </c>
      <c r="M716">
        <f>IF(B716="","",IF(K716&lt;&gt;"","Shipped",IF(F716&lt;&gt;"","Ordered, awaiting tracking","NOT ORDERED")))</f>
        <v/>
      </c>
    </row>
    <row r="717">
      <c r="C717">
        <f>IF(B717="","",RIGHT(B717,7))</f>
        <v/>
      </c>
      <c r="L717">
        <f>IF(OR(A717="",K717=""),"",K717-A717)</f>
        <v/>
      </c>
      <c r="M717">
        <f>IF(B717="","",IF(K717&lt;&gt;"","Shipped",IF(F717&lt;&gt;"","Ordered, awaiting tracking","NOT ORDERED")))</f>
        <v/>
      </c>
    </row>
    <row r="718">
      <c r="C718">
        <f>IF(B718="","",RIGHT(B718,7))</f>
        <v/>
      </c>
      <c r="L718">
        <f>IF(OR(A718="",K718=""),"",K718-A718)</f>
        <v/>
      </c>
      <c r="M718">
        <f>IF(B718="","",IF(K718&lt;&gt;"","Shipped",IF(F718&lt;&gt;"","Ordered, awaiting tracking","NOT ORDERED")))</f>
        <v/>
      </c>
    </row>
    <row r="719">
      <c r="C719">
        <f>IF(B719="","",RIGHT(B719,7))</f>
        <v/>
      </c>
      <c r="L719">
        <f>IF(OR(A719="",K719=""),"",K719-A719)</f>
        <v/>
      </c>
      <c r="M719">
        <f>IF(B719="","",IF(K719&lt;&gt;"","Shipped",IF(F719&lt;&gt;"","Ordered, awaiting tracking","NOT ORDERED")))</f>
        <v/>
      </c>
    </row>
    <row r="720">
      <c r="C720">
        <f>IF(B720="","",RIGHT(B720,7))</f>
        <v/>
      </c>
      <c r="L720">
        <f>IF(OR(A720="",K720=""),"",K720-A720)</f>
        <v/>
      </c>
      <c r="M720">
        <f>IF(B720="","",IF(K720&lt;&gt;"","Shipped",IF(F720&lt;&gt;"","Ordered, awaiting tracking","NOT ORDERED")))</f>
        <v/>
      </c>
    </row>
    <row r="721">
      <c r="C721">
        <f>IF(B721="","",RIGHT(B721,7))</f>
        <v/>
      </c>
      <c r="L721">
        <f>IF(OR(A721="",K721=""),"",K721-A721)</f>
        <v/>
      </c>
      <c r="M721">
        <f>IF(B721="","",IF(K721&lt;&gt;"","Shipped",IF(F721&lt;&gt;"","Ordered, awaiting tracking","NOT ORDERED")))</f>
        <v/>
      </c>
    </row>
    <row r="722">
      <c r="C722">
        <f>IF(B722="","",RIGHT(B722,7))</f>
        <v/>
      </c>
      <c r="L722">
        <f>IF(OR(A722="",K722=""),"",K722-A722)</f>
        <v/>
      </c>
      <c r="M722">
        <f>IF(B722="","",IF(K722&lt;&gt;"","Shipped",IF(F722&lt;&gt;"","Ordered, awaiting tracking","NOT ORDERED")))</f>
        <v/>
      </c>
    </row>
    <row r="723">
      <c r="C723">
        <f>IF(B723="","",RIGHT(B723,7))</f>
        <v/>
      </c>
      <c r="L723">
        <f>IF(OR(A723="",K723=""),"",K723-A723)</f>
        <v/>
      </c>
      <c r="M723">
        <f>IF(B723="","",IF(K723&lt;&gt;"","Shipped",IF(F723&lt;&gt;"","Ordered, awaiting tracking","NOT ORDERED")))</f>
        <v/>
      </c>
    </row>
    <row r="724">
      <c r="C724">
        <f>IF(B724="","",RIGHT(B724,7))</f>
        <v/>
      </c>
      <c r="L724">
        <f>IF(OR(A724="",K724=""),"",K724-A724)</f>
        <v/>
      </c>
      <c r="M724">
        <f>IF(B724="","",IF(K724&lt;&gt;"","Shipped",IF(F724&lt;&gt;"","Ordered, awaiting tracking","NOT ORDERED")))</f>
        <v/>
      </c>
    </row>
    <row r="725">
      <c r="C725">
        <f>IF(B725="","",RIGHT(B725,7))</f>
        <v/>
      </c>
      <c r="L725">
        <f>IF(OR(A725="",K725=""),"",K725-A725)</f>
        <v/>
      </c>
      <c r="M725">
        <f>IF(B725="","",IF(K725&lt;&gt;"","Shipped",IF(F725&lt;&gt;"","Ordered, awaiting tracking","NOT ORDERED")))</f>
        <v/>
      </c>
    </row>
    <row r="726">
      <c r="C726">
        <f>IF(B726="","",RIGHT(B726,7))</f>
        <v/>
      </c>
      <c r="L726">
        <f>IF(OR(A726="",K726=""),"",K726-A726)</f>
        <v/>
      </c>
      <c r="M726">
        <f>IF(B726="","",IF(K726&lt;&gt;"","Shipped",IF(F726&lt;&gt;"","Ordered, awaiting tracking","NOT ORDERED")))</f>
        <v/>
      </c>
    </row>
    <row r="727">
      <c r="C727">
        <f>IF(B727="","",RIGHT(B727,7))</f>
        <v/>
      </c>
      <c r="L727">
        <f>IF(OR(A727="",K727=""),"",K727-A727)</f>
        <v/>
      </c>
      <c r="M727">
        <f>IF(B727="","",IF(K727&lt;&gt;"","Shipped",IF(F727&lt;&gt;"","Ordered, awaiting tracking","NOT ORDERED")))</f>
        <v/>
      </c>
    </row>
    <row r="728">
      <c r="C728">
        <f>IF(B728="","",RIGHT(B728,7))</f>
        <v/>
      </c>
      <c r="L728">
        <f>IF(OR(A728="",K728=""),"",K728-A728)</f>
        <v/>
      </c>
      <c r="M728">
        <f>IF(B728="","",IF(K728&lt;&gt;"","Shipped",IF(F728&lt;&gt;"","Ordered, awaiting tracking","NOT ORDERED")))</f>
        <v/>
      </c>
    </row>
    <row r="729">
      <c r="C729">
        <f>IF(B729="","",RIGHT(B729,7))</f>
        <v/>
      </c>
      <c r="L729">
        <f>IF(OR(A729="",K729=""),"",K729-A729)</f>
        <v/>
      </c>
      <c r="M729">
        <f>IF(B729="","",IF(K729&lt;&gt;"","Shipped",IF(F729&lt;&gt;"","Ordered, awaiting tracking","NOT ORDERED")))</f>
        <v/>
      </c>
    </row>
    <row r="730">
      <c r="C730">
        <f>IF(B730="","",RIGHT(B730,7))</f>
        <v/>
      </c>
      <c r="L730">
        <f>IF(OR(A730="",K730=""),"",K730-A730)</f>
        <v/>
      </c>
      <c r="M730">
        <f>IF(B730="","",IF(K730&lt;&gt;"","Shipped",IF(F730&lt;&gt;"","Ordered, awaiting tracking","NOT ORDERED")))</f>
        <v/>
      </c>
    </row>
    <row r="731">
      <c r="C731">
        <f>IF(B731="","",RIGHT(B731,7))</f>
        <v/>
      </c>
      <c r="L731">
        <f>IF(OR(A731="",K731=""),"",K731-A731)</f>
        <v/>
      </c>
      <c r="M731">
        <f>IF(B731="","",IF(K731&lt;&gt;"","Shipped",IF(F731&lt;&gt;"","Ordered, awaiting tracking","NOT ORDERED")))</f>
        <v/>
      </c>
    </row>
    <row r="732">
      <c r="C732">
        <f>IF(B732="","",RIGHT(B732,7))</f>
        <v/>
      </c>
      <c r="L732">
        <f>IF(OR(A732="",K732=""),"",K732-A732)</f>
        <v/>
      </c>
      <c r="M732">
        <f>IF(B732="","",IF(K732&lt;&gt;"","Shipped",IF(F732&lt;&gt;"","Ordered, awaiting tracking","NOT ORDERED")))</f>
        <v/>
      </c>
    </row>
    <row r="733">
      <c r="C733">
        <f>IF(B733="","",RIGHT(B733,7))</f>
        <v/>
      </c>
      <c r="L733">
        <f>IF(OR(A733="",K733=""),"",K733-A733)</f>
        <v/>
      </c>
      <c r="M733">
        <f>IF(B733="","",IF(K733&lt;&gt;"","Shipped",IF(F733&lt;&gt;"","Ordered, awaiting tracking","NOT ORDERED")))</f>
        <v/>
      </c>
    </row>
    <row r="734">
      <c r="C734">
        <f>IF(B734="","",RIGHT(B734,7))</f>
        <v/>
      </c>
      <c r="L734">
        <f>IF(OR(A734="",K734=""),"",K734-A734)</f>
        <v/>
      </c>
      <c r="M734">
        <f>IF(B734="","",IF(K734&lt;&gt;"","Shipped",IF(F734&lt;&gt;"","Ordered, awaiting tracking","NOT ORDERED")))</f>
        <v/>
      </c>
    </row>
    <row r="735">
      <c r="C735">
        <f>IF(B735="","",RIGHT(B735,7))</f>
        <v/>
      </c>
      <c r="L735">
        <f>IF(OR(A735="",K735=""),"",K735-A735)</f>
        <v/>
      </c>
      <c r="M735">
        <f>IF(B735="","",IF(K735&lt;&gt;"","Shipped",IF(F735&lt;&gt;"","Ordered, awaiting tracking","NOT ORDERED")))</f>
        <v/>
      </c>
    </row>
    <row r="736">
      <c r="C736">
        <f>IF(B736="","",RIGHT(B736,7))</f>
        <v/>
      </c>
      <c r="L736">
        <f>IF(OR(A736="",K736=""),"",K736-A736)</f>
        <v/>
      </c>
      <c r="M736">
        <f>IF(B736="","",IF(K736&lt;&gt;"","Shipped",IF(F736&lt;&gt;"","Ordered, awaiting tracking","NOT ORDERED")))</f>
        <v/>
      </c>
    </row>
    <row r="737">
      <c r="C737">
        <f>IF(B737="","",RIGHT(B737,7))</f>
        <v/>
      </c>
      <c r="L737">
        <f>IF(OR(A737="",K737=""),"",K737-A737)</f>
        <v/>
      </c>
      <c r="M737">
        <f>IF(B737="","",IF(K737&lt;&gt;"","Shipped",IF(F737&lt;&gt;"","Ordered, awaiting tracking","NOT ORDERED")))</f>
        <v/>
      </c>
    </row>
    <row r="738">
      <c r="C738">
        <f>IF(B738="","",RIGHT(B738,7))</f>
        <v/>
      </c>
      <c r="L738">
        <f>IF(OR(A738="",K738=""),"",K738-A738)</f>
        <v/>
      </c>
      <c r="M738">
        <f>IF(B738="","",IF(K738&lt;&gt;"","Shipped",IF(F738&lt;&gt;"","Ordered, awaiting tracking","NOT ORDERED")))</f>
        <v/>
      </c>
    </row>
    <row r="739">
      <c r="C739">
        <f>IF(B739="","",RIGHT(B739,7))</f>
        <v/>
      </c>
      <c r="L739">
        <f>IF(OR(A739="",K739=""),"",K739-A739)</f>
        <v/>
      </c>
      <c r="M739">
        <f>IF(B739="","",IF(K739&lt;&gt;"","Shipped",IF(F739&lt;&gt;"","Ordered, awaiting tracking","NOT ORDERED")))</f>
        <v/>
      </c>
    </row>
    <row r="740">
      <c r="C740">
        <f>IF(B740="","",RIGHT(B740,7))</f>
        <v/>
      </c>
      <c r="L740">
        <f>IF(OR(A740="",K740=""),"",K740-A740)</f>
        <v/>
      </c>
      <c r="M740">
        <f>IF(B740="","",IF(K740&lt;&gt;"","Shipped",IF(F740&lt;&gt;"","Ordered, awaiting tracking","NOT ORDERED")))</f>
        <v/>
      </c>
    </row>
    <row r="741">
      <c r="C741">
        <f>IF(B741="","",RIGHT(B741,7))</f>
        <v/>
      </c>
      <c r="L741">
        <f>IF(OR(A741="",K741=""),"",K741-A741)</f>
        <v/>
      </c>
      <c r="M741">
        <f>IF(B741="","",IF(K741&lt;&gt;"","Shipped",IF(F741&lt;&gt;"","Ordered, awaiting tracking","NOT ORDERED")))</f>
        <v/>
      </c>
    </row>
    <row r="742">
      <c r="C742">
        <f>IF(B742="","",RIGHT(B742,7))</f>
        <v/>
      </c>
      <c r="L742">
        <f>IF(OR(A742="",K742=""),"",K742-A742)</f>
        <v/>
      </c>
      <c r="M742">
        <f>IF(B742="","",IF(K742&lt;&gt;"","Shipped",IF(F742&lt;&gt;"","Ordered, awaiting tracking","NOT ORDERED")))</f>
        <v/>
      </c>
    </row>
    <row r="743">
      <c r="C743">
        <f>IF(B743="","",RIGHT(B743,7))</f>
        <v/>
      </c>
      <c r="L743">
        <f>IF(OR(A743="",K743=""),"",K743-A743)</f>
        <v/>
      </c>
      <c r="M743">
        <f>IF(B743="","",IF(K743&lt;&gt;"","Shipped",IF(F743&lt;&gt;"","Ordered, awaiting tracking","NOT ORDERED")))</f>
        <v/>
      </c>
    </row>
    <row r="744">
      <c r="C744">
        <f>IF(B744="","",RIGHT(B744,7))</f>
        <v/>
      </c>
      <c r="L744">
        <f>IF(OR(A744="",K744=""),"",K744-A744)</f>
        <v/>
      </c>
      <c r="M744">
        <f>IF(B744="","",IF(K744&lt;&gt;"","Shipped",IF(F744&lt;&gt;"","Ordered, awaiting tracking","NOT ORDERED")))</f>
        <v/>
      </c>
    </row>
    <row r="745">
      <c r="C745">
        <f>IF(B745="","",RIGHT(B745,7))</f>
        <v/>
      </c>
      <c r="L745">
        <f>IF(OR(A745="",K745=""),"",K745-A745)</f>
        <v/>
      </c>
      <c r="M745">
        <f>IF(B745="","",IF(K745&lt;&gt;"","Shipped",IF(F745&lt;&gt;"","Ordered, awaiting tracking","NOT ORDERED")))</f>
        <v/>
      </c>
    </row>
    <row r="746">
      <c r="C746">
        <f>IF(B746="","",RIGHT(B746,7))</f>
        <v/>
      </c>
      <c r="L746">
        <f>IF(OR(A746="",K746=""),"",K746-A746)</f>
        <v/>
      </c>
      <c r="M746">
        <f>IF(B746="","",IF(K746&lt;&gt;"","Shipped",IF(F746&lt;&gt;"","Ordered, awaiting tracking","NOT ORDERED")))</f>
        <v/>
      </c>
    </row>
    <row r="747">
      <c r="C747">
        <f>IF(B747="","",RIGHT(B747,7))</f>
        <v/>
      </c>
      <c r="L747">
        <f>IF(OR(A747="",K747=""),"",K747-A747)</f>
        <v/>
      </c>
      <c r="M747">
        <f>IF(B747="","",IF(K747&lt;&gt;"","Shipped",IF(F747&lt;&gt;"","Ordered, awaiting tracking","NOT ORDERED")))</f>
        <v/>
      </c>
    </row>
    <row r="748">
      <c r="C748">
        <f>IF(B748="","",RIGHT(B748,7))</f>
        <v/>
      </c>
      <c r="L748">
        <f>IF(OR(A748="",K748=""),"",K748-A748)</f>
        <v/>
      </c>
      <c r="M748">
        <f>IF(B748="","",IF(K748&lt;&gt;"","Shipped",IF(F748&lt;&gt;"","Ordered, awaiting tracking","NOT ORDERED")))</f>
        <v/>
      </c>
    </row>
    <row r="749">
      <c r="C749">
        <f>IF(B749="","",RIGHT(B749,7))</f>
        <v/>
      </c>
      <c r="L749">
        <f>IF(OR(A749="",K749=""),"",K749-A749)</f>
        <v/>
      </c>
      <c r="M749">
        <f>IF(B749="","",IF(K749&lt;&gt;"","Shipped",IF(F749&lt;&gt;"","Ordered, awaiting tracking","NOT ORDERED")))</f>
        <v/>
      </c>
    </row>
    <row r="750">
      <c r="C750">
        <f>IF(B750="","",RIGHT(B750,7))</f>
        <v/>
      </c>
      <c r="L750">
        <f>IF(OR(A750="",K750=""),"",K750-A750)</f>
        <v/>
      </c>
      <c r="M750">
        <f>IF(B750="","",IF(K750&lt;&gt;"","Shipped",IF(F750&lt;&gt;"","Ordered, awaiting tracking","NOT ORDERED")))</f>
        <v/>
      </c>
    </row>
    <row r="751">
      <c r="C751">
        <f>IF(B751="","",RIGHT(B751,7))</f>
        <v/>
      </c>
      <c r="L751">
        <f>IF(OR(A751="",K751=""),"",K751-A751)</f>
        <v/>
      </c>
      <c r="M751">
        <f>IF(B751="","",IF(K751&lt;&gt;"","Shipped",IF(F751&lt;&gt;"","Ordered, awaiting tracking","NOT ORDERED")))</f>
        <v/>
      </c>
    </row>
    <row r="752">
      <c r="C752">
        <f>IF(B752="","",RIGHT(B752,7))</f>
        <v/>
      </c>
      <c r="L752">
        <f>IF(OR(A752="",K752=""),"",K752-A752)</f>
        <v/>
      </c>
      <c r="M752">
        <f>IF(B752="","",IF(K752&lt;&gt;"","Shipped",IF(F752&lt;&gt;"","Ordered, awaiting tracking","NOT ORDERED")))</f>
        <v/>
      </c>
    </row>
    <row r="753">
      <c r="C753">
        <f>IF(B753="","",RIGHT(B753,7))</f>
        <v/>
      </c>
      <c r="L753">
        <f>IF(OR(A753="",K753=""),"",K753-A753)</f>
        <v/>
      </c>
      <c r="M753">
        <f>IF(B753="","",IF(K753&lt;&gt;"","Shipped",IF(F753&lt;&gt;"","Ordered, awaiting tracking","NOT ORDERED")))</f>
        <v/>
      </c>
    </row>
    <row r="754">
      <c r="C754">
        <f>IF(B754="","",RIGHT(B754,7))</f>
        <v/>
      </c>
      <c r="L754">
        <f>IF(OR(A754="",K754=""),"",K754-A754)</f>
        <v/>
      </c>
      <c r="M754">
        <f>IF(B754="","",IF(K754&lt;&gt;"","Shipped",IF(F754&lt;&gt;"","Ordered, awaiting tracking","NOT ORDERED")))</f>
        <v/>
      </c>
    </row>
    <row r="755">
      <c r="C755">
        <f>IF(B755="","",RIGHT(B755,7))</f>
        <v/>
      </c>
      <c r="L755">
        <f>IF(OR(A755="",K755=""),"",K755-A755)</f>
        <v/>
      </c>
      <c r="M755">
        <f>IF(B755="","",IF(K755&lt;&gt;"","Shipped",IF(F755&lt;&gt;"","Ordered, awaiting tracking","NOT ORDERED")))</f>
        <v/>
      </c>
    </row>
    <row r="756">
      <c r="C756">
        <f>IF(B756="","",RIGHT(B756,7))</f>
        <v/>
      </c>
      <c r="L756">
        <f>IF(OR(A756="",K756=""),"",K756-A756)</f>
        <v/>
      </c>
      <c r="M756">
        <f>IF(B756="","",IF(K756&lt;&gt;"","Shipped",IF(F756&lt;&gt;"","Ordered, awaiting tracking","NOT ORDERED")))</f>
        <v/>
      </c>
    </row>
    <row r="757">
      <c r="C757">
        <f>IF(B757="","",RIGHT(B757,7))</f>
        <v/>
      </c>
      <c r="L757">
        <f>IF(OR(A757="",K757=""),"",K757-A757)</f>
        <v/>
      </c>
      <c r="M757">
        <f>IF(B757="","",IF(K757&lt;&gt;"","Shipped",IF(F757&lt;&gt;"","Ordered, awaiting tracking","NOT ORDERED")))</f>
        <v/>
      </c>
    </row>
    <row r="758">
      <c r="C758">
        <f>IF(B758="","",RIGHT(B758,7))</f>
        <v/>
      </c>
      <c r="L758">
        <f>IF(OR(A758="",K758=""),"",K758-A758)</f>
        <v/>
      </c>
      <c r="M758">
        <f>IF(B758="","",IF(K758&lt;&gt;"","Shipped",IF(F758&lt;&gt;"","Ordered, awaiting tracking","NOT ORDERED")))</f>
        <v/>
      </c>
    </row>
    <row r="759">
      <c r="C759">
        <f>IF(B759="","",RIGHT(B759,7))</f>
        <v/>
      </c>
      <c r="L759">
        <f>IF(OR(A759="",K759=""),"",K759-A759)</f>
        <v/>
      </c>
      <c r="M759">
        <f>IF(B759="","",IF(K759&lt;&gt;"","Shipped",IF(F759&lt;&gt;"","Ordered, awaiting tracking","NOT ORDERED")))</f>
        <v/>
      </c>
    </row>
    <row r="760">
      <c r="C760">
        <f>IF(B760="","",RIGHT(B760,7))</f>
        <v/>
      </c>
      <c r="L760">
        <f>IF(OR(A760="",K760=""),"",K760-A760)</f>
        <v/>
      </c>
      <c r="M760">
        <f>IF(B760="","",IF(K760&lt;&gt;"","Shipped",IF(F760&lt;&gt;"","Ordered, awaiting tracking","NOT ORDERED")))</f>
        <v/>
      </c>
    </row>
    <row r="761">
      <c r="C761">
        <f>IF(B761="","",RIGHT(B761,7))</f>
        <v/>
      </c>
      <c r="L761">
        <f>IF(OR(A761="",K761=""),"",K761-A761)</f>
        <v/>
      </c>
      <c r="M761">
        <f>IF(B761="","",IF(K761&lt;&gt;"","Shipped",IF(F761&lt;&gt;"","Ordered, awaiting tracking","NOT ORDERED")))</f>
        <v/>
      </c>
    </row>
    <row r="762">
      <c r="C762">
        <f>IF(B762="","",RIGHT(B762,7))</f>
        <v/>
      </c>
      <c r="L762">
        <f>IF(OR(A762="",K762=""),"",K762-A762)</f>
        <v/>
      </c>
      <c r="M762">
        <f>IF(B762="","",IF(K762&lt;&gt;"","Shipped",IF(F762&lt;&gt;"","Ordered, awaiting tracking","NOT ORDERED")))</f>
        <v/>
      </c>
    </row>
    <row r="763">
      <c r="C763">
        <f>IF(B763="","",RIGHT(B763,7))</f>
        <v/>
      </c>
      <c r="L763">
        <f>IF(OR(A763="",K763=""),"",K763-A763)</f>
        <v/>
      </c>
      <c r="M763">
        <f>IF(B763="","",IF(K763&lt;&gt;"","Shipped",IF(F763&lt;&gt;"","Ordered, awaiting tracking","NOT ORDERED")))</f>
        <v/>
      </c>
    </row>
    <row r="764">
      <c r="C764">
        <f>IF(B764="","",RIGHT(B764,7))</f>
        <v/>
      </c>
      <c r="L764">
        <f>IF(OR(A764="",K764=""),"",K764-A764)</f>
        <v/>
      </c>
      <c r="M764">
        <f>IF(B764="","",IF(K764&lt;&gt;"","Shipped",IF(F764&lt;&gt;"","Ordered, awaiting tracking","NOT ORDERED")))</f>
        <v/>
      </c>
    </row>
    <row r="765">
      <c r="C765">
        <f>IF(B765="","",RIGHT(B765,7))</f>
        <v/>
      </c>
      <c r="L765">
        <f>IF(OR(A765="",K765=""),"",K765-A765)</f>
        <v/>
      </c>
      <c r="M765">
        <f>IF(B765="","",IF(K765&lt;&gt;"","Shipped",IF(F765&lt;&gt;"","Ordered, awaiting tracking","NOT ORDERED")))</f>
        <v/>
      </c>
    </row>
    <row r="766">
      <c r="C766">
        <f>IF(B766="","",RIGHT(B766,7))</f>
        <v/>
      </c>
      <c r="L766">
        <f>IF(OR(A766="",K766=""),"",K766-A766)</f>
        <v/>
      </c>
      <c r="M766">
        <f>IF(B766="","",IF(K766&lt;&gt;"","Shipped",IF(F766&lt;&gt;"","Ordered, awaiting tracking","NOT ORDERED")))</f>
        <v/>
      </c>
    </row>
    <row r="767">
      <c r="C767">
        <f>IF(B767="","",RIGHT(B767,7))</f>
        <v/>
      </c>
      <c r="L767">
        <f>IF(OR(A767="",K767=""),"",K767-A767)</f>
        <v/>
      </c>
      <c r="M767">
        <f>IF(B767="","",IF(K767&lt;&gt;"","Shipped",IF(F767&lt;&gt;"","Ordered, awaiting tracking","NOT ORDERED")))</f>
        <v/>
      </c>
    </row>
    <row r="768">
      <c r="C768">
        <f>IF(B768="","",RIGHT(B768,7))</f>
        <v/>
      </c>
      <c r="L768">
        <f>IF(OR(A768="",K768=""),"",K768-A768)</f>
        <v/>
      </c>
      <c r="M768">
        <f>IF(B768="","",IF(K768&lt;&gt;"","Shipped",IF(F768&lt;&gt;"","Ordered, awaiting tracking","NOT ORDERED")))</f>
        <v/>
      </c>
    </row>
    <row r="769">
      <c r="C769">
        <f>IF(B769="","",RIGHT(B769,7))</f>
        <v/>
      </c>
      <c r="L769">
        <f>IF(OR(A769="",K769=""),"",K769-A769)</f>
        <v/>
      </c>
      <c r="M769">
        <f>IF(B769="","",IF(K769&lt;&gt;"","Shipped",IF(F769&lt;&gt;"","Ordered, awaiting tracking","NOT ORDERED")))</f>
        <v/>
      </c>
    </row>
    <row r="770">
      <c r="C770">
        <f>IF(B770="","",RIGHT(B770,7))</f>
        <v/>
      </c>
      <c r="L770">
        <f>IF(OR(A770="",K770=""),"",K770-A770)</f>
        <v/>
      </c>
      <c r="M770">
        <f>IF(B770="","",IF(K770&lt;&gt;"","Shipped",IF(F770&lt;&gt;"","Ordered, awaiting tracking","NOT ORDERED")))</f>
        <v/>
      </c>
    </row>
    <row r="771">
      <c r="C771">
        <f>IF(B771="","",RIGHT(B771,7))</f>
        <v/>
      </c>
      <c r="L771">
        <f>IF(OR(A771="",K771=""),"",K771-A771)</f>
        <v/>
      </c>
      <c r="M771">
        <f>IF(B771="","",IF(K771&lt;&gt;"","Shipped",IF(F771&lt;&gt;"","Ordered, awaiting tracking","NOT ORDERED")))</f>
        <v/>
      </c>
    </row>
    <row r="772">
      <c r="C772">
        <f>IF(B772="","",RIGHT(B772,7))</f>
        <v/>
      </c>
      <c r="L772">
        <f>IF(OR(A772="",K772=""),"",K772-A772)</f>
        <v/>
      </c>
      <c r="M772">
        <f>IF(B772="","",IF(K772&lt;&gt;"","Shipped",IF(F772&lt;&gt;"","Ordered, awaiting tracking","NOT ORDERED")))</f>
        <v/>
      </c>
    </row>
    <row r="773">
      <c r="C773">
        <f>IF(B773="","",RIGHT(B773,7))</f>
        <v/>
      </c>
      <c r="L773">
        <f>IF(OR(A773="",K773=""),"",K773-A773)</f>
        <v/>
      </c>
      <c r="M773">
        <f>IF(B773="","",IF(K773&lt;&gt;"","Shipped",IF(F773&lt;&gt;"","Ordered, awaiting tracking","NOT ORDERED")))</f>
        <v/>
      </c>
    </row>
    <row r="774">
      <c r="C774">
        <f>IF(B774="","",RIGHT(B774,7))</f>
        <v/>
      </c>
      <c r="L774">
        <f>IF(OR(A774="",K774=""),"",K774-A774)</f>
        <v/>
      </c>
      <c r="M774">
        <f>IF(B774="","",IF(K774&lt;&gt;"","Shipped",IF(F774&lt;&gt;"","Ordered, awaiting tracking","NOT ORDERED")))</f>
        <v/>
      </c>
    </row>
    <row r="775">
      <c r="C775">
        <f>IF(B775="","",RIGHT(B775,7))</f>
        <v/>
      </c>
      <c r="L775">
        <f>IF(OR(A775="",K775=""),"",K775-A775)</f>
        <v/>
      </c>
      <c r="M775">
        <f>IF(B775="","",IF(K775&lt;&gt;"","Shipped",IF(F775&lt;&gt;"","Ordered, awaiting tracking","NOT ORDERED")))</f>
        <v/>
      </c>
    </row>
    <row r="776">
      <c r="C776">
        <f>IF(B776="","",RIGHT(B776,7))</f>
        <v/>
      </c>
      <c r="L776">
        <f>IF(OR(A776="",K776=""),"",K776-A776)</f>
        <v/>
      </c>
      <c r="M776">
        <f>IF(B776="","",IF(K776&lt;&gt;"","Shipped",IF(F776&lt;&gt;"","Ordered, awaiting tracking","NOT ORDERED")))</f>
        <v/>
      </c>
    </row>
    <row r="777">
      <c r="C777">
        <f>IF(B777="","",RIGHT(B777,7))</f>
        <v/>
      </c>
      <c r="L777">
        <f>IF(OR(A777="",K777=""),"",K777-A777)</f>
        <v/>
      </c>
      <c r="M777">
        <f>IF(B777="","",IF(K777&lt;&gt;"","Shipped",IF(F777&lt;&gt;"","Ordered, awaiting tracking","NOT ORDERED")))</f>
        <v/>
      </c>
    </row>
    <row r="778">
      <c r="C778">
        <f>IF(B778="","",RIGHT(B778,7))</f>
        <v/>
      </c>
      <c r="L778">
        <f>IF(OR(A778="",K778=""),"",K778-A778)</f>
        <v/>
      </c>
      <c r="M778">
        <f>IF(B778="","",IF(K778&lt;&gt;"","Shipped",IF(F778&lt;&gt;"","Ordered, awaiting tracking","NOT ORDERED")))</f>
        <v/>
      </c>
    </row>
    <row r="779">
      <c r="C779">
        <f>IF(B779="","",RIGHT(B779,7))</f>
        <v/>
      </c>
      <c r="L779">
        <f>IF(OR(A779="",K779=""),"",K779-A779)</f>
        <v/>
      </c>
      <c r="M779">
        <f>IF(B779="","",IF(K779&lt;&gt;"","Shipped",IF(F779&lt;&gt;"","Ordered, awaiting tracking","NOT ORDERED")))</f>
        <v/>
      </c>
    </row>
    <row r="780">
      <c r="C780">
        <f>IF(B780="","",RIGHT(B780,7))</f>
        <v/>
      </c>
      <c r="L780">
        <f>IF(OR(A780="",K780=""),"",K780-A780)</f>
        <v/>
      </c>
      <c r="M780">
        <f>IF(B780="","",IF(K780&lt;&gt;"","Shipped",IF(F780&lt;&gt;"","Ordered, awaiting tracking","NOT ORDERED")))</f>
        <v/>
      </c>
    </row>
    <row r="781">
      <c r="C781">
        <f>IF(B781="","",RIGHT(B781,7))</f>
        <v/>
      </c>
      <c r="L781">
        <f>IF(OR(A781="",K781=""),"",K781-A781)</f>
        <v/>
      </c>
      <c r="M781">
        <f>IF(B781="","",IF(K781&lt;&gt;"","Shipped",IF(F781&lt;&gt;"","Ordered, awaiting tracking","NOT ORDERED")))</f>
        <v/>
      </c>
    </row>
    <row r="782">
      <c r="C782">
        <f>IF(B782="","",RIGHT(B782,7))</f>
        <v/>
      </c>
      <c r="L782">
        <f>IF(OR(A782="",K782=""),"",K782-A782)</f>
        <v/>
      </c>
      <c r="M782">
        <f>IF(B782="","",IF(K782&lt;&gt;"","Shipped",IF(F782&lt;&gt;"","Ordered, awaiting tracking","NOT ORDERED")))</f>
        <v/>
      </c>
    </row>
    <row r="783">
      <c r="C783">
        <f>IF(B783="","",RIGHT(B783,7))</f>
        <v/>
      </c>
      <c r="L783">
        <f>IF(OR(A783="",K783=""),"",K783-A783)</f>
        <v/>
      </c>
      <c r="M783">
        <f>IF(B783="","",IF(K783&lt;&gt;"","Shipped",IF(F783&lt;&gt;"","Ordered, awaiting tracking","NOT ORDERED")))</f>
        <v/>
      </c>
    </row>
    <row r="784">
      <c r="C784">
        <f>IF(B784="","",RIGHT(B784,7))</f>
        <v/>
      </c>
      <c r="L784">
        <f>IF(OR(A784="",K784=""),"",K784-A784)</f>
        <v/>
      </c>
      <c r="M784">
        <f>IF(B784="","",IF(K784&lt;&gt;"","Shipped",IF(F784&lt;&gt;"","Ordered, awaiting tracking","NOT ORDERED")))</f>
        <v/>
      </c>
    </row>
    <row r="785">
      <c r="C785">
        <f>IF(B785="","",RIGHT(B785,7))</f>
        <v/>
      </c>
      <c r="L785">
        <f>IF(OR(A785="",K785=""),"",K785-A785)</f>
        <v/>
      </c>
      <c r="M785">
        <f>IF(B785="","",IF(K785&lt;&gt;"","Shipped",IF(F785&lt;&gt;"","Ordered, awaiting tracking","NOT ORDERED")))</f>
        <v/>
      </c>
    </row>
    <row r="786">
      <c r="C786">
        <f>IF(B786="","",RIGHT(B786,7))</f>
        <v/>
      </c>
      <c r="L786">
        <f>IF(OR(A786="",K786=""),"",K786-A786)</f>
        <v/>
      </c>
      <c r="M786">
        <f>IF(B786="","",IF(K786&lt;&gt;"","Shipped",IF(F786&lt;&gt;"","Ordered, awaiting tracking","NOT ORDERED")))</f>
        <v/>
      </c>
    </row>
    <row r="787">
      <c r="C787">
        <f>IF(B787="","",RIGHT(B787,7))</f>
        <v/>
      </c>
      <c r="L787">
        <f>IF(OR(A787="",K787=""),"",K787-A787)</f>
        <v/>
      </c>
      <c r="M787">
        <f>IF(B787="","",IF(K787&lt;&gt;"","Shipped",IF(F787&lt;&gt;"","Ordered, awaiting tracking","NOT ORDERED")))</f>
        <v/>
      </c>
    </row>
    <row r="788">
      <c r="C788">
        <f>IF(B788="","",RIGHT(B788,7))</f>
        <v/>
      </c>
      <c r="L788">
        <f>IF(OR(A788="",K788=""),"",K788-A788)</f>
        <v/>
      </c>
      <c r="M788">
        <f>IF(B788="","",IF(K788&lt;&gt;"","Shipped",IF(F788&lt;&gt;"","Ordered, awaiting tracking","NOT ORDERED")))</f>
        <v/>
      </c>
    </row>
    <row r="789">
      <c r="C789">
        <f>IF(B789="","",RIGHT(B789,7))</f>
        <v/>
      </c>
      <c r="L789">
        <f>IF(OR(A789="",K789=""),"",K789-A789)</f>
        <v/>
      </c>
      <c r="M789">
        <f>IF(B789="","",IF(K789&lt;&gt;"","Shipped",IF(F789&lt;&gt;"","Ordered, awaiting tracking","NOT ORDERED")))</f>
        <v/>
      </c>
    </row>
    <row r="790">
      <c r="C790">
        <f>IF(B790="","",RIGHT(B790,7))</f>
        <v/>
      </c>
      <c r="L790">
        <f>IF(OR(A790="",K790=""),"",K790-A790)</f>
        <v/>
      </c>
      <c r="M790">
        <f>IF(B790="","",IF(K790&lt;&gt;"","Shipped",IF(F790&lt;&gt;"","Ordered, awaiting tracking","NOT ORDERED")))</f>
        <v/>
      </c>
    </row>
    <row r="791">
      <c r="C791">
        <f>IF(B791="","",RIGHT(B791,7))</f>
        <v/>
      </c>
      <c r="L791">
        <f>IF(OR(A791="",K791=""),"",K791-A791)</f>
        <v/>
      </c>
      <c r="M791">
        <f>IF(B791="","",IF(K791&lt;&gt;"","Shipped",IF(F791&lt;&gt;"","Ordered, awaiting tracking","NOT ORDERED")))</f>
        <v/>
      </c>
    </row>
    <row r="792">
      <c r="C792">
        <f>IF(B792="","",RIGHT(B792,7))</f>
        <v/>
      </c>
      <c r="L792">
        <f>IF(OR(A792="",K792=""),"",K792-A792)</f>
        <v/>
      </c>
      <c r="M792">
        <f>IF(B792="","",IF(K792&lt;&gt;"","Shipped",IF(F792&lt;&gt;"","Ordered, awaiting tracking","NOT ORDERED")))</f>
        <v/>
      </c>
    </row>
    <row r="793">
      <c r="C793">
        <f>IF(B793="","",RIGHT(B793,7))</f>
        <v/>
      </c>
      <c r="L793">
        <f>IF(OR(A793="",K793=""),"",K793-A793)</f>
        <v/>
      </c>
      <c r="M793">
        <f>IF(B793="","",IF(K793&lt;&gt;"","Shipped",IF(F793&lt;&gt;"","Ordered, awaiting tracking","NOT ORDERED")))</f>
        <v/>
      </c>
    </row>
    <row r="794">
      <c r="C794">
        <f>IF(B794="","",RIGHT(B794,7))</f>
        <v/>
      </c>
      <c r="L794">
        <f>IF(OR(A794="",K794=""),"",K794-A794)</f>
        <v/>
      </c>
      <c r="M794">
        <f>IF(B794="","",IF(K794&lt;&gt;"","Shipped",IF(F794&lt;&gt;"","Ordered, awaiting tracking","NOT ORDERED")))</f>
        <v/>
      </c>
    </row>
    <row r="795">
      <c r="C795">
        <f>IF(B795="","",RIGHT(B795,7))</f>
        <v/>
      </c>
      <c r="L795">
        <f>IF(OR(A795="",K795=""),"",K795-A795)</f>
        <v/>
      </c>
      <c r="M795">
        <f>IF(B795="","",IF(K795&lt;&gt;"","Shipped",IF(F795&lt;&gt;"","Ordered, awaiting tracking","NOT ORDERED")))</f>
        <v/>
      </c>
    </row>
    <row r="796">
      <c r="C796">
        <f>IF(B796="","",RIGHT(B796,7))</f>
        <v/>
      </c>
      <c r="L796">
        <f>IF(OR(A796="",K796=""),"",K796-A796)</f>
        <v/>
      </c>
      <c r="M796">
        <f>IF(B796="","",IF(K796&lt;&gt;"","Shipped",IF(F796&lt;&gt;"","Ordered, awaiting tracking","NOT ORDERED")))</f>
        <v/>
      </c>
    </row>
    <row r="797">
      <c r="C797">
        <f>IF(B797="","",RIGHT(B797,7))</f>
        <v/>
      </c>
      <c r="L797">
        <f>IF(OR(A797="",K797=""),"",K797-A797)</f>
        <v/>
      </c>
      <c r="M797">
        <f>IF(B797="","",IF(K797&lt;&gt;"","Shipped",IF(F797&lt;&gt;"","Ordered, awaiting tracking","NOT ORDERED")))</f>
        <v/>
      </c>
    </row>
    <row r="798">
      <c r="C798">
        <f>IF(B798="","",RIGHT(B798,7))</f>
        <v/>
      </c>
      <c r="L798">
        <f>IF(OR(A798="",K798=""),"",K798-A798)</f>
        <v/>
      </c>
      <c r="M798">
        <f>IF(B798="","",IF(K798&lt;&gt;"","Shipped",IF(F798&lt;&gt;"","Ordered, awaiting tracking","NOT ORDERED")))</f>
        <v/>
      </c>
    </row>
    <row r="799">
      <c r="C799">
        <f>IF(B799="","",RIGHT(B799,7))</f>
        <v/>
      </c>
      <c r="L799">
        <f>IF(OR(A799="",K799=""),"",K799-A799)</f>
        <v/>
      </c>
      <c r="M799">
        <f>IF(B799="","",IF(K799&lt;&gt;"","Shipped",IF(F799&lt;&gt;"","Ordered, awaiting tracking","NOT ORDERED")))</f>
        <v/>
      </c>
    </row>
    <row r="800">
      <c r="C800">
        <f>IF(B800="","",RIGHT(B800,7))</f>
        <v/>
      </c>
      <c r="L800">
        <f>IF(OR(A800="",K800=""),"",K800-A800)</f>
        <v/>
      </c>
      <c r="M800">
        <f>IF(B800="","",IF(K800&lt;&gt;"","Shipped",IF(F800&lt;&gt;"","Ordered, awaiting tracking","NOT ORDERED")))</f>
        <v/>
      </c>
    </row>
    <row r="801">
      <c r="C801">
        <f>IF(B801="","",RIGHT(B801,7))</f>
        <v/>
      </c>
      <c r="L801">
        <f>IF(OR(A801="",K801=""),"",K801-A801)</f>
        <v/>
      </c>
      <c r="M801">
        <f>IF(B801="","",IF(K801&lt;&gt;"","Shipped",IF(F801&lt;&gt;"","Ordered, awaiting tracking","NOT ORDERED")))</f>
        <v/>
      </c>
    </row>
    <row r="802">
      <c r="C802">
        <f>IF(B802="","",RIGHT(B802,7))</f>
        <v/>
      </c>
      <c r="L802">
        <f>IF(OR(A802="",K802=""),"",K802-A802)</f>
        <v/>
      </c>
      <c r="M802">
        <f>IF(B802="","",IF(K802&lt;&gt;"","Shipped",IF(F802&lt;&gt;"","Ordered, awaiting tracking","NOT ORDERED")))</f>
        <v/>
      </c>
    </row>
    <row r="803">
      <c r="C803">
        <f>IF(B803="","",RIGHT(B803,7))</f>
        <v/>
      </c>
      <c r="L803">
        <f>IF(OR(A803="",K803=""),"",K803-A803)</f>
        <v/>
      </c>
      <c r="M803">
        <f>IF(B803="","",IF(K803&lt;&gt;"","Shipped",IF(F803&lt;&gt;"","Ordered, awaiting tracking","NOT ORDERED")))</f>
        <v/>
      </c>
    </row>
    <row r="804">
      <c r="C804">
        <f>IF(B804="","",RIGHT(B804,7))</f>
        <v/>
      </c>
      <c r="L804">
        <f>IF(OR(A804="",K804=""),"",K804-A804)</f>
        <v/>
      </c>
      <c r="M804">
        <f>IF(B804="","",IF(K804&lt;&gt;"","Shipped",IF(F804&lt;&gt;"","Ordered, awaiting tracking","NOT ORDERED")))</f>
        <v/>
      </c>
    </row>
    <row r="805">
      <c r="C805">
        <f>IF(B805="","",RIGHT(B805,7))</f>
        <v/>
      </c>
      <c r="L805">
        <f>IF(OR(A805="",K805=""),"",K805-A805)</f>
        <v/>
      </c>
      <c r="M805">
        <f>IF(B805="","",IF(K805&lt;&gt;"","Shipped",IF(F805&lt;&gt;"","Ordered, awaiting tracking","NOT ORDERED")))</f>
        <v/>
      </c>
    </row>
    <row r="806">
      <c r="C806">
        <f>IF(B806="","",RIGHT(B806,7))</f>
        <v/>
      </c>
      <c r="L806">
        <f>IF(OR(A806="",K806=""),"",K806-A806)</f>
        <v/>
      </c>
      <c r="M806">
        <f>IF(B806="","",IF(K806&lt;&gt;"","Shipped",IF(F806&lt;&gt;"","Ordered, awaiting tracking","NOT ORDERED")))</f>
        <v/>
      </c>
    </row>
    <row r="807">
      <c r="C807">
        <f>IF(B807="","",RIGHT(B807,7))</f>
        <v/>
      </c>
      <c r="L807">
        <f>IF(OR(A807="",K807=""),"",K807-A807)</f>
        <v/>
      </c>
      <c r="M807">
        <f>IF(B807="","",IF(K807&lt;&gt;"","Shipped",IF(F807&lt;&gt;"","Ordered, awaiting tracking","NOT ORDERED")))</f>
        <v/>
      </c>
    </row>
    <row r="808">
      <c r="C808">
        <f>IF(B808="","",RIGHT(B808,7))</f>
        <v/>
      </c>
      <c r="L808">
        <f>IF(OR(A808="",K808=""),"",K808-A808)</f>
        <v/>
      </c>
      <c r="M808">
        <f>IF(B808="","",IF(K808&lt;&gt;"","Shipped",IF(F808&lt;&gt;"","Ordered, awaiting tracking","NOT ORDERED")))</f>
        <v/>
      </c>
    </row>
    <row r="809">
      <c r="C809">
        <f>IF(B809="","",RIGHT(B809,7))</f>
        <v/>
      </c>
      <c r="L809">
        <f>IF(OR(A809="",K809=""),"",K809-A809)</f>
        <v/>
      </c>
      <c r="M809">
        <f>IF(B809="","",IF(K809&lt;&gt;"","Shipped",IF(F809&lt;&gt;"","Ordered, awaiting tracking","NOT ORDERED")))</f>
        <v/>
      </c>
    </row>
    <row r="810">
      <c r="C810">
        <f>IF(B810="","",RIGHT(B810,7))</f>
        <v/>
      </c>
      <c r="L810">
        <f>IF(OR(A810="",K810=""),"",K810-A810)</f>
        <v/>
      </c>
      <c r="M810">
        <f>IF(B810="","",IF(K810&lt;&gt;"","Shipped",IF(F810&lt;&gt;"","Ordered, awaiting tracking","NOT ORDERED")))</f>
        <v/>
      </c>
    </row>
    <row r="811">
      <c r="C811">
        <f>IF(B811="","",RIGHT(B811,7))</f>
        <v/>
      </c>
      <c r="L811">
        <f>IF(OR(A811="",K811=""),"",K811-A811)</f>
        <v/>
      </c>
      <c r="M811">
        <f>IF(B811="","",IF(K811&lt;&gt;"","Shipped",IF(F811&lt;&gt;"","Ordered, awaiting tracking","NOT ORDERED")))</f>
        <v/>
      </c>
    </row>
    <row r="812">
      <c r="C812">
        <f>IF(B812="","",RIGHT(B812,7))</f>
        <v/>
      </c>
      <c r="L812">
        <f>IF(OR(A812="",K812=""),"",K812-A812)</f>
        <v/>
      </c>
      <c r="M812">
        <f>IF(B812="","",IF(K812&lt;&gt;"","Shipped",IF(F812&lt;&gt;"","Ordered, awaiting tracking","NOT ORDERED")))</f>
        <v/>
      </c>
    </row>
    <row r="813">
      <c r="C813">
        <f>IF(B813="","",RIGHT(B813,7))</f>
        <v/>
      </c>
      <c r="L813">
        <f>IF(OR(A813="",K813=""),"",K813-A813)</f>
        <v/>
      </c>
      <c r="M813">
        <f>IF(B813="","",IF(K813&lt;&gt;"","Shipped",IF(F813&lt;&gt;"","Ordered, awaiting tracking","NOT ORDERED")))</f>
        <v/>
      </c>
    </row>
    <row r="814">
      <c r="C814">
        <f>IF(B814="","",RIGHT(B814,7))</f>
        <v/>
      </c>
      <c r="L814">
        <f>IF(OR(A814="",K814=""),"",K814-A814)</f>
        <v/>
      </c>
      <c r="M814">
        <f>IF(B814="","",IF(K814&lt;&gt;"","Shipped",IF(F814&lt;&gt;"","Ordered, awaiting tracking","NOT ORDERED")))</f>
        <v/>
      </c>
    </row>
    <row r="815">
      <c r="C815">
        <f>IF(B815="","",RIGHT(B815,7))</f>
        <v/>
      </c>
      <c r="L815">
        <f>IF(OR(A815="",K815=""),"",K815-A815)</f>
        <v/>
      </c>
      <c r="M815">
        <f>IF(B815="","",IF(K815&lt;&gt;"","Shipped",IF(F815&lt;&gt;"","Ordered, awaiting tracking","NOT ORDERED")))</f>
        <v/>
      </c>
    </row>
    <row r="816">
      <c r="C816">
        <f>IF(B816="","",RIGHT(B816,7))</f>
        <v/>
      </c>
      <c r="L816">
        <f>IF(OR(A816="",K816=""),"",K816-A816)</f>
        <v/>
      </c>
      <c r="M816">
        <f>IF(B816="","",IF(K816&lt;&gt;"","Shipped",IF(F816&lt;&gt;"","Ordered, awaiting tracking","NOT ORDERED")))</f>
        <v/>
      </c>
    </row>
    <row r="817">
      <c r="C817">
        <f>IF(B817="","",RIGHT(B817,7))</f>
        <v/>
      </c>
      <c r="L817">
        <f>IF(OR(A817="",K817=""),"",K817-A817)</f>
        <v/>
      </c>
      <c r="M817">
        <f>IF(B817="","",IF(K817&lt;&gt;"","Shipped",IF(F817&lt;&gt;"","Ordered, awaiting tracking","NOT ORDERED")))</f>
        <v/>
      </c>
    </row>
    <row r="818">
      <c r="C818">
        <f>IF(B818="","",RIGHT(B818,7))</f>
        <v/>
      </c>
      <c r="L818">
        <f>IF(OR(A818="",K818=""),"",K818-A818)</f>
        <v/>
      </c>
      <c r="M818">
        <f>IF(B818="","",IF(K818&lt;&gt;"","Shipped",IF(F818&lt;&gt;"","Ordered, awaiting tracking","NOT ORDERED")))</f>
        <v/>
      </c>
    </row>
    <row r="819">
      <c r="C819">
        <f>IF(B819="","",RIGHT(B819,7))</f>
        <v/>
      </c>
      <c r="L819">
        <f>IF(OR(A819="",K819=""),"",K819-A819)</f>
        <v/>
      </c>
      <c r="M819">
        <f>IF(B819="","",IF(K819&lt;&gt;"","Shipped",IF(F819&lt;&gt;"","Ordered, awaiting tracking","NOT ORDERED")))</f>
        <v/>
      </c>
    </row>
    <row r="820">
      <c r="C820">
        <f>IF(B820="","",RIGHT(B820,7))</f>
        <v/>
      </c>
      <c r="L820">
        <f>IF(OR(A820="",K820=""),"",K820-A820)</f>
        <v/>
      </c>
      <c r="M820">
        <f>IF(B820="","",IF(K820&lt;&gt;"","Shipped",IF(F820&lt;&gt;"","Ordered, awaiting tracking","NOT ORDERED")))</f>
        <v/>
      </c>
    </row>
    <row r="821">
      <c r="C821">
        <f>IF(B821="","",RIGHT(B821,7))</f>
        <v/>
      </c>
      <c r="L821">
        <f>IF(OR(A821="",K821=""),"",K821-A821)</f>
        <v/>
      </c>
      <c r="M821">
        <f>IF(B821="","",IF(K821&lt;&gt;"","Shipped",IF(F821&lt;&gt;"","Ordered, awaiting tracking","NOT ORDERED")))</f>
        <v/>
      </c>
    </row>
    <row r="822">
      <c r="C822">
        <f>IF(B822="","",RIGHT(B822,7))</f>
        <v/>
      </c>
      <c r="L822">
        <f>IF(OR(A822="",K822=""),"",K822-A822)</f>
        <v/>
      </c>
      <c r="M822">
        <f>IF(B822="","",IF(K822&lt;&gt;"","Shipped",IF(F822&lt;&gt;"","Ordered, awaiting tracking","NOT ORDERED")))</f>
        <v/>
      </c>
    </row>
    <row r="823">
      <c r="C823">
        <f>IF(B823="","",RIGHT(B823,7))</f>
        <v/>
      </c>
      <c r="L823">
        <f>IF(OR(A823="",K823=""),"",K823-A823)</f>
        <v/>
      </c>
      <c r="M823">
        <f>IF(B823="","",IF(K823&lt;&gt;"","Shipped",IF(F823&lt;&gt;"","Ordered, awaiting tracking","NOT ORDERED")))</f>
        <v/>
      </c>
    </row>
    <row r="824">
      <c r="C824">
        <f>IF(B824="","",RIGHT(B824,7))</f>
        <v/>
      </c>
      <c r="L824">
        <f>IF(OR(A824="",K824=""),"",K824-A824)</f>
        <v/>
      </c>
      <c r="M824">
        <f>IF(B824="","",IF(K824&lt;&gt;"","Shipped",IF(F824&lt;&gt;"","Ordered, awaiting tracking","NOT ORDERED")))</f>
        <v/>
      </c>
    </row>
    <row r="825">
      <c r="C825">
        <f>IF(B825="","",RIGHT(B825,7))</f>
        <v/>
      </c>
      <c r="L825">
        <f>IF(OR(A825="",K825=""),"",K825-A825)</f>
        <v/>
      </c>
      <c r="M825">
        <f>IF(B825="","",IF(K825&lt;&gt;"","Shipped",IF(F825&lt;&gt;"","Ordered, awaiting tracking","NOT ORDERED")))</f>
        <v/>
      </c>
    </row>
    <row r="826">
      <c r="C826">
        <f>IF(B826="","",RIGHT(B826,7))</f>
        <v/>
      </c>
      <c r="L826">
        <f>IF(OR(A826="",K826=""),"",K826-A826)</f>
        <v/>
      </c>
      <c r="M826">
        <f>IF(B826="","",IF(K826&lt;&gt;"","Shipped",IF(F826&lt;&gt;"","Ordered, awaiting tracking","NOT ORDERED")))</f>
        <v/>
      </c>
    </row>
    <row r="827">
      <c r="C827">
        <f>IF(B827="","",RIGHT(B827,7))</f>
        <v/>
      </c>
      <c r="L827">
        <f>IF(OR(A827="",K827=""),"",K827-A827)</f>
        <v/>
      </c>
      <c r="M827">
        <f>IF(B827="","",IF(K827&lt;&gt;"","Shipped",IF(F827&lt;&gt;"","Ordered, awaiting tracking","NOT ORDERED")))</f>
        <v/>
      </c>
    </row>
    <row r="828">
      <c r="C828">
        <f>IF(B828="","",RIGHT(B828,7))</f>
        <v/>
      </c>
      <c r="L828">
        <f>IF(OR(A828="",K828=""),"",K828-A828)</f>
        <v/>
      </c>
      <c r="M828">
        <f>IF(B828="","",IF(K828&lt;&gt;"","Shipped",IF(F828&lt;&gt;"","Ordered, awaiting tracking","NOT ORDERED")))</f>
        <v/>
      </c>
    </row>
    <row r="829">
      <c r="C829">
        <f>IF(B829="","",RIGHT(B829,7))</f>
        <v/>
      </c>
      <c r="L829">
        <f>IF(OR(A829="",K829=""),"",K829-A829)</f>
        <v/>
      </c>
      <c r="M829">
        <f>IF(B829="","",IF(K829&lt;&gt;"","Shipped",IF(F829&lt;&gt;"","Ordered, awaiting tracking","NOT ORDERED")))</f>
        <v/>
      </c>
    </row>
    <row r="830">
      <c r="C830">
        <f>IF(B830="","",RIGHT(B830,7))</f>
        <v/>
      </c>
      <c r="L830">
        <f>IF(OR(A830="",K830=""),"",K830-A830)</f>
        <v/>
      </c>
      <c r="M830">
        <f>IF(B830="","",IF(K830&lt;&gt;"","Shipped",IF(F830&lt;&gt;"","Ordered, awaiting tracking","NOT ORDERED")))</f>
        <v/>
      </c>
    </row>
    <row r="831">
      <c r="C831">
        <f>IF(B831="","",RIGHT(B831,7))</f>
        <v/>
      </c>
      <c r="L831">
        <f>IF(OR(A831="",K831=""),"",K831-A831)</f>
        <v/>
      </c>
      <c r="M831">
        <f>IF(B831="","",IF(K831&lt;&gt;"","Shipped",IF(F831&lt;&gt;"","Ordered, awaiting tracking","NOT ORDERED")))</f>
        <v/>
      </c>
    </row>
    <row r="832">
      <c r="C832">
        <f>IF(B832="","",RIGHT(B832,7))</f>
        <v/>
      </c>
      <c r="L832">
        <f>IF(OR(A832="",K832=""),"",K832-A832)</f>
        <v/>
      </c>
      <c r="M832">
        <f>IF(B832="","",IF(K832&lt;&gt;"","Shipped",IF(F832&lt;&gt;"","Ordered, awaiting tracking","NOT ORDERED")))</f>
        <v/>
      </c>
    </row>
    <row r="833">
      <c r="C833">
        <f>IF(B833="","",RIGHT(B833,7))</f>
        <v/>
      </c>
      <c r="L833">
        <f>IF(OR(A833="",K833=""),"",K833-A833)</f>
        <v/>
      </c>
      <c r="M833">
        <f>IF(B833="","",IF(K833&lt;&gt;"","Shipped",IF(F833&lt;&gt;"","Ordered, awaiting tracking","NOT ORDERED")))</f>
        <v/>
      </c>
    </row>
    <row r="834">
      <c r="C834">
        <f>IF(B834="","",RIGHT(B834,7))</f>
        <v/>
      </c>
      <c r="L834">
        <f>IF(OR(A834="",K834=""),"",K834-A834)</f>
        <v/>
      </c>
      <c r="M834">
        <f>IF(B834="","",IF(K834&lt;&gt;"","Shipped",IF(F834&lt;&gt;"","Ordered, awaiting tracking","NOT ORDERED")))</f>
        <v/>
      </c>
    </row>
    <row r="835">
      <c r="C835">
        <f>IF(B835="","",RIGHT(B835,7))</f>
        <v/>
      </c>
      <c r="L835">
        <f>IF(OR(A835="",K835=""),"",K835-A835)</f>
        <v/>
      </c>
      <c r="M835">
        <f>IF(B835="","",IF(K835&lt;&gt;"","Shipped",IF(F835&lt;&gt;"","Ordered, awaiting tracking","NOT ORDERED")))</f>
        <v/>
      </c>
    </row>
    <row r="836">
      <c r="C836">
        <f>IF(B836="","",RIGHT(B836,7))</f>
        <v/>
      </c>
      <c r="L836">
        <f>IF(OR(A836="",K836=""),"",K836-A836)</f>
        <v/>
      </c>
      <c r="M836">
        <f>IF(B836="","",IF(K836&lt;&gt;"","Shipped",IF(F836&lt;&gt;"","Ordered, awaiting tracking","NOT ORDERED")))</f>
        <v/>
      </c>
    </row>
    <row r="837">
      <c r="C837">
        <f>IF(B837="","",RIGHT(B837,7))</f>
        <v/>
      </c>
      <c r="L837">
        <f>IF(OR(A837="",K837=""),"",K837-A837)</f>
        <v/>
      </c>
      <c r="M837">
        <f>IF(B837="","",IF(K837&lt;&gt;"","Shipped",IF(F837&lt;&gt;"","Ordered, awaiting tracking","NOT ORDERED")))</f>
        <v/>
      </c>
    </row>
    <row r="838">
      <c r="C838">
        <f>IF(B838="","",RIGHT(B838,7))</f>
        <v/>
      </c>
      <c r="L838">
        <f>IF(OR(A838="",K838=""),"",K838-A838)</f>
        <v/>
      </c>
      <c r="M838">
        <f>IF(B838="","",IF(K838&lt;&gt;"","Shipped",IF(F838&lt;&gt;"","Ordered, awaiting tracking","NOT ORDERED")))</f>
        <v/>
      </c>
    </row>
    <row r="839">
      <c r="C839">
        <f>IF(B839="","",RIGHT(B839,7))</f>
        <v/>
      </c>
      <c r="L839">
        <f>IF(OR(A839="",K839=""),"",K839-A839)</f>
        <v/>
      </c>
      <c r="M839">
        <f>IF(B839="","",IF(K839&lt;&gt;"","Shipped",IF(F839&lt;&gt;"","Ordered, awaiting tracking","NOT ORDERED")))</f>
        <v/>
      </c>
    </row>
    <row r="840">
      <c r="C840">
        <f>IF(B840="","",RIGHT(B840,7))</f>
        <v/>
      </c>
      <c r="L840">
        <f>IF(OR(A840="",K840=""),"",K840-A840)</f>
        <v/>
      </c>
      <c r="M840">
        <f>IF(B840="","",IF(K840&lt;&gt;"","Shipped",IF(F840&lt;&gt;"","Ordered, awaiting tracking","NOT ORDERED")))</f>
        <v/>
      </c>
    </row>
    <row r="841">
      <c r="C841">
        <f>IF(B841="","",RIGHT(B841,7))</f>
        <v/>
      </c>
      <c r="L841">
        <f>IF(OR(A841="",K841=""),"",K841-A841)</f>
        <v/>
      </c>
      <c r="M841">
        <f>IF(B841="","",IF(K841&lt;&gt;"","Shipped",IF(F841&lt;&gt;"","Ordered, awaiting tracking","NOT ORDERED")))</f>
        <v/>
      </c>
    </row>
    <row r="842">
      <c r="C842">
        <f>IF(B842="","",RIGHT(B842,7))</f>
        <v/>
      </c>
      <c r="L842">
        <f>IF(OR(A842="",K842=""),"",K842-A842)</f>
        <v/>
      </c>
      <c r="M842">
        <f>IF(B842="","",IF(K842&lt;&gt;"","Shipped",IF(F842&lt;&gt;"","Ordered, awaiting tracking","NOT ORDERED")))</f>
        <v/>
      </c>
    </row>
    <row r="843">
      <c r="C843">
        <f>IF(B843="","",RIGHT(B843,7))</f>
        <v/>
      </c>
      <c r="L843">
        <f>IF(OR(A843="",K843=""),"",K843-A843)</f>
        <v/>
      </c>
      <c r="M843">
        <f>IF(B843="","",IF(K843&lt;&gt;"","Shipped",IF(F843&lt;&gt;"","Ordered, awaiting tracking","NOT ORDERED")))</f>
        <v/>
      </c>
    </row>
    <row r="844">
      <c r="C844">
        <f>IF(B844="","",RIGHT(B844,7))</f>
        <v/>
      </c>
      <c r="L844">
        <f>IF(OR(A844="",K844=""),"",K844-A844)</f>
        <v/>
      </c>
      <c r="M844">
        <f>IF(B844="","",IF(K844&lt;&gt;"","Shipped",IF(F844&lt;&gt;"","Ordered, awaiting tracking","NOT ORDERED")))</f>
        <v/>
      </c>
    </row>
    <row r="845">
      <c r="C845">
        <f>IF(B845="","",RIGHT(B845,7))</f>
        <v/>
      </c>
      <c r="L845">
        <f>IF(OR(A845="",K845=""),"",K845-A845)</f>
        <v/>
      </c>
      <c r="M845">
        <f>IF(B845="","",IF(K845&lt;&gt;"","Shipped",IF(F845&lt;&gt;"","Ordered, awaiting tracking","NOT ORDERED")))</f>
        <v/>
      </c>
    </row>
    <row r="846">
      <c r="C846">
        <f>IF(B846="","",RIGHT(B846,7))</f>
        <v/>
      </c>
      <c r="L846">
        <f>IF(OR(A846="",K846=""),"",K846-A846)</f>
        <v/>
      </c>
      <c r="M846">
        <f>IF(B846="","",IF(K846&lt;&gt;"","Shipped",IF(F846&lt;&gt;"","Ordered, awaiting tracking","NOT ORDERED")))</f>
        <v/>
      </c>
    </row>
    <row r="847">
      <c r="C847">
        <f>IF(B847="","",RIGHT(B847,7))</f>
        <v/>
      </c>
      <c r="L847">
        <f>IF(OR(A847="",K847=""),"",K847-A847)</f>
        <v/>
      </c>
      <c r="M847">
        <f>IF(B847="","",IF(K847&lt;&gt;"","Shipped",IF(F847&lt;&gt;"","Ordered, awaiting tracking","NOT ORDERED")))</f>
        <v/>
      </c>
    </row>
    <row r="848">
      <c r="C848">
        <f>IF(B848="","",RIGHT(B848,7))</f>
        <v/>
      </c>
      <c r="L848">
        <f>IF(OR(A848="",K848=""),"",K848-A848)</f>
        <v/>
      </c>
      <c r="M848">
        <f>IF(B848="","",IF(K848&lt;&gt;"","Shipped",IF(F848&lt;&gt;"","Ordered, awaiting tracking","NOT ORDERED")))</f>
        <v/>
      </c>
    </row>
    <row r="849">
      <c r="C849">
        <f>IF(B849="","",RIGHT(B849,7))</f>
        <v/>
      </c>
      <c r="L849">
        <f>IF(OR(A849="",K849=""),"",K849-A849)</f>
        <v/>
      </c>
      <c r="M849">
        <f>IF(B849="","",IF(K849&lt;&gt;"","Shipped",IF(F849&lt;&gt;"","Ordered, awaiting tracking","NOT ORDERED")))</f>
        <v/>
      </c>
    </row>
    <row r="850">
      <c r="C850">
        <f>IF(B850="","",RIGHT(B850,7))</f>
        <v/>
      </c>
      <c r="L850">
        <f>IF(OR(A850="",K850=""),"",K850-A850)</f>
        <v/>
      </c>
      <c r="M850">
        <f>IF(B850="","",IF(K850&lt;&gt;"","Shipped",IF(F850&lt;&gt;"","Ordered, awaiting tracking","NOT ORDERED")))</f>
        <v/>
      </c>
    </row>
    <row r="851">
      <c r="C851">
        <f>IF(B851="","",RIGHT(B851,7))</f>
        <v/>
      </c>
      <c r="L851">
        <f>IF(OR(A851="",K851=""),"",K851-A851)</f>
        <v/>
      </c>
      <c r="M851">
        <f>IF(B851="","",IF(K851&lt;&gt;"","Shipped",IF(F851&lt;&gt;"","Ordered, awaiting tracking","NOT ORDERED")))</f>
        <v/>
      </c>
    </row>
    <row r="852">
      <c r="C852">
        <f>IF(B852="","",RIGHT(B852,7))</f>
        <v/>
      </c>
      <c r="L852">
        <f>IF(OR(A852="",K852=""),"",K852-A852)</f>
        <v/>
      </c>
      <c r="M852">
        <f>IF(B852="","",IF(K852&lt;&gt;"","Shipped",IF(F852&lt;&gt;"","Ordered, awaiting tracking","NOT ORDERED")))</f>
        <v/>
      </c>
    </row>
    <row r="853">
      <c r="C853">
        <f>IF(B853="","",RIGHT(B853,7))</f>
        <v/>
      </c>
      <c r="L853">
        <f>IF(OR(A853="",K853=""),"",K853-A853)</f>
        <v/>
      </c>
      <c r="M853">
        <f>IF(B853="","",IF(K853&lt;&gt;"","Shipped",IF(F853&lt;&gt;"","Ordered, awaiting tracking","NOT ORDERED")))</f>
        <v/>
      </c>
    </row>
    <row r="854">
      <c r="C854">
        <f>IF(B854="","",RIGHT(B854,7))</f>
        <v/>
      </c>
      <c r="L854">
        <f>IF(OR(A854="",K854=""),"",K854-A854)</f>
        <v/>
      </c>
      <c r="M854">
        <f>IF(B854="","",IF(K854&lt;&gt;"","Shipped",IF(F854&lt;&gt;"","Ordered, awaiting tracking","NOT ORDERED")))</f>
        <v/>
      </c>
    </row>
    <row r="855">
      <c r="C855">
        <f>IF(B855="","",RIGHT(B855,7))</f>
        <v/>
      </c>
      <c r="L855">
        <f>IF(OR(A855="",K855=""),"",K855-A855)</f>
        <v/>
      </c>
      <c r="M855">
        <f>IF(B855="","",IF(K855&lt;&gt;"","Shipped",IF(F855&lt;&gt;"","Ordered, awaiting tracking","NOT ORDERED")))</f>
        <v/>
      </c>
    </row>
    <row r="856">
      <c r="C856">
        <f>IF(B856="","",RIGHT(B856,7))</f>
        <v/>
      </c>
      <c r="L856">
        <f>IF(OR(A856="",K856=""),"",K856-A856)</f>
        <v/>
      </c>
      <c r="M856">
        <f>IF(B856="","",IF(K856&lt;&gt;"","Shipped",IF(F856&lt;&gt;"","Ordered, awaiting tracking","NOT ORDERED")))</f>
        <v/>
      </c>
    </row>
    <row r="857">
      <c r="C857">
        <f>IF(B857="","",RIGHT(B857,7))</f>
        <v/>
      </c>
      <c r="L857">
        <f>IF(OR(A857="",K857=""),"",K857-A857)</f>
        <v/>
      </c>
      <c r="M857">
        <f>IF(B857="","",IF(K857&lt;&gt;"","Shipped",IF(F857&lt;&gt;"","Ordered, awaiting tracking","NOT ORDERED")))</f>
        <v/>
      </c>
    </row>
    <row r="858">
      <c r="C858">
        <f>IF(B858="","",RIGHT(B858,7))</f>
        <v/>
      </c>
      <c r="L858">
        <f>IF(OR(A858="",K858=""),"",K858-A858)</f>
        <v/>
      </c>
      <c r="M858">
        <f>IF(B858="","",IF(K858&lt;&gt;"","Shipped",IF(F858&lt;&gt;"","Ordered, awaiting tracking","NOT ORDERED")))</f>
        <v/>
      </c>
    </row>
    <row r="859">
      <c r="C859">
        <f>IF(B859="","",RIGHT(B859,7))</f>
        <v/>
      </c>
      <c r="L859">
        <f>IF(OR(A859="",K859=""),"",K859-A859)</f>
        <v/>
      </c>
      <c r="M859">
        <f>IF(B859="","",IF(K859&lt;&gt;"","Shipped",IF(F859&lt;&gt;"","Ordered, awaiting tracking","NOT ORDERED")))</f>
        <v/>
      </c>
    </row>
    <row r="860">
      <c r="C860">
        <f>IF(B860="","",RIGHT(B860,7))</f>
        <v/>
      </c>
      <c r="L860">
        <f>IF(OR(A860="",K860=""),"",K860-A860)</f>
        <v/>
      </c>
      <c r="M860">
        <f>IF(B860="","",IF(K860&lt;&gt;"","Shipped",IF(F860&lt;&gt;"","Ordered, awaiting tracking","NOT ORDERED")))</f>
        <v/>
      </c>
    </row>
    <row r="861">
      <c r="C861">
        <f>IF(B861="","",RIGHT(B861,7))</f>
        <v/>
      </c>
      <c r="L861">
        <f>IF(OR(A861="",K861=""),"",K861-A861)</f>
        <v/>
      </c>
      <c r="M861">
        <f>IF(B861="","",IF(K861&lt;&gt;"","Shipped",IF(F861&lt;&gt;"","Ordered, awaiting tracking","NOT ORDERED")))</f>
        <v/>
      </c>
    </row>
    <row r="862">
      <c r="C862">
        <f>IF(B862="","",RIGHT(B862,7))</f>
        <v/>
      </c>
      <c r="L862">
        <f>IF(OR(A862="",K862=""),"",K862-A862)</f>
        <v/>
      </c>
      <c r="M862">
        <f>IF(B862="","",IF(K862&lt;&gt;"","Shipped",IF(F862&lt;&gt;"","Ordered, awaiting tracking","NOT ORDERED")))</f>
        <v/>
      </c>
    </row>
    <row r="863">
      <c r="C863">
        <f>IF(B863="","",RIGHT(B863,7))</f>
        <v/>
      </c>
      <c r="L863">
        <f>IF(OR(A863="",K863=""),"",K863-A863)</f>
        <v/>
      </c>
      <c r="M863">
        <f>IF(B863="","",IF(K863&lt;&gt;"","Shipped",IF(F863&lt;&gt;"","Ordered, awaiting tracking","NOT ORDERED")))</f>
        <v/>
      </c>
    </row>
    <row r="864">
      <c r="C864">
        <f>IF(B864="","",RIGHT(B864,7))</f>
        <v/>
      </c>
      <c r="L864">
        <f>IF(OR(A864="",K864=""),"",K864-A864)</f>
        <v/>
      </c>
      <c r="M864">
        <f>IF(B864="","",IF(K864&lt;&gt;"","Shipped",IF(F864&lt;&gt;"","Ordered, awaiting tracking","NOT ORDERED")))</f>
        <v/>
      </c>
    </row>
    <row r="865">
      <c r="C865">
        <f>IF(B865="","",RIGHT(B865,7))</f>
        <v/>
      </c>
      <c r="L865">
        <f>IF(OR(A865="",K865=""),"",K865-A865)</f>
        <v/>
      </c>
      <c r="M865">
        <f>IF(B865="","",IF(K865&lt;&gt;"","Shipped",IF(F865&lt;&gt;"","Ordered, awaiting tracking","NOT ORDERED")))</f>
        <v/>
      </c>
    </row>
    <row r="866">
      <c r="C866">
        <f>IF(B866="","",RIGHT(B866,7))</f>
        <v/>
      </c>
      <c r="L866">
        <f>IF(OR(A866="",K866=""),"",K866-A866)</f>
        <v/>
      </c>
      <c r="M866">
        <f>IF(B866="","",IF(K866&lt;&gt;"","Shipped",IF(F866&lt;&gt;"","Ordered, awaiting tracking","NOT ORDERED")))</f>
        <v/>
      </c>
    </row>
    <row r="867">
      <c r="C867">
        <f>IF(B867="","",RIGHT(B867,7))</f>
        <v/>
      </c>
      <c r="L867">
        <f>IF(OR(A867="",K867=""),"",K867-A867)</f>
        <v/>
      </c>
      <c r="M867">
        <f>IF(B867="","",IF(K867&lt;&gt;"","Shipped",IF(F867&lt;&gt;"","Ordered, awaiting tracking","NOT ORDERED")))</f>
        <v/>
      </c>
    </row>
    <row r="868">
      <c r="C868">
        <f>IF(B868="","",RIGHT(B868,7))</f>
        <v/>
      </c>
      <c r="L868">
        <f>IF(OR(A868="",K868=""),"",K868-A868)</f>
        <v/>
      </c>
      <c r="M868">
        <f>IF(B868="","",IF(K868&lt;&gt;"","Shipped",IF(F868&lt;&gt;"","Ordered, awaiting tracking","NOT ORDERED")))</f>
        <v/>
      </c>
    </row>
    <row r="869">
      <c r="C869">
        <f>IF(B869="","",RIGHT(B869,7))</f>
        <v/>
      </c>
      <c r="L869">
        <f>IF(OR(A869="",K869=""),"",K869-A869)</f>
        <v/>
      </c>
      <c r="M869">
        <f>IF(B869="","",IF(K869&lt;&gt;"","Shipped",IF(F869&lt;&gt;"","Ordered, awaiting tracking","NOT ORDERED")))</f>
        <v/>
      </c>
    </row>
    <row r="870">
      <c r="C870">
        <f>IF(B870="","",RIGHT(B870,7))</f>
        <v/>
      </c>
      <c r="L870">
        <f>IF(OR(A870="",K870=""),"",K870-A870)</f>
        <v/>
      </c>
      <c r="M870">
        <f>IF(B870="","",IF(K870&lt;&gt;"","Shipped",IF(F870&lt;&gt;"","Ordered, awaiting tracking","NOT ORDERED")))</f>
        <v/>
      </c>
    </row>
    <row r="871">
      <c r="C871">
        <f>IF(B871="","",RIGHT(B871,7))</f>
        <v/>
      </c>
      <c r="L871">
        <f>IF(OR(A871="",K871=""),"",K871-A871)</f>
        <v/>
      </c>
      <c r="M871">
        <f>IF(B871="","",IF(K871&lt;&gt;"","Shipped",IF(F871&lt;&gt;"","Ordered, awaiting tracking","NOT ORDERED")))</f>
        <v/>
      </c>
    </row>
    <row r="872">
      <c r="C872">
        <f>IF(B872="","",RIGHT(B872,7))</f>
        <v/>
      </c>
      <c r="L872">
        <f>IF(OR(A872="",K872=""),"",K872-A872)</f>
        <v/>
      </c>
      <c r="M872">
        <f>IF(B872="","",IF(K872&lt;&gt;"","Shipped",IF(F872&lt;&gt;"","Ordered, awaiting tracking","NOT ORDERED")))</f>
        <v/>
      </c>
    </row>
    <row r="873">
      <c r="C873">
        <f>IF(B873="","",RIGHT(B873,7))</f>
        <v/>
      </c>
      <c r="L873">
        <f>IF(OR(A873="",K873=""),"",K873-A873)</f>
        <v/>
      </c>
      <c r="M873">
        <f>IF(B873="","",IF(K873&lt;&gt;"","Shipped",IF(F873&lt;&gt;"","Ordered, awaiting tracking","NOT ORDERED")))</f>
        <v/>
      </c>
    </row>
    <row r="874">
      <c r="C874">
        <f>IF(B874="","",RIGHT(B874,7))</f>
        <v/>
      </c>
      <c r="L874">
        <f>IF(OR(A874="",K874=""),"",K874-A874)</f>
        <v/>
      </c>
      <c r="M874">
        <f>IF(B874="","",IF(K874&lt;&gt;"","Shipped",IF(F874&lt;&gt;"","Ordered, awaiting tracking","NOT ORDERED")))</f>
        <v/>
      </c>
    </row>
    <row r="875">
      <c r="C875">
        <f>IF(B875="","",RIGHT(B875,7))</f>
        <v/>
      </c>
      <c r="L875">
        <f>IF(OR(A875="",K875=""),"",K875-A875)</f>
        <v/>
      </c>
      <c r="M875">
        <f>IF(B875="","",IF(K875&lt;&gt;"","Shipped",IF(F875&lt;&gt;"","Ordered, awaiting tracking","NOT ORDERED")))</f>
        <v/>
      </c>
    </row>
    <row r="876">
      <c r="C876">
        <f>IF(B876="","",RIGHT(B876,7))</f>
        <v/>
      </c>
      <c r="L876">
        <f>IF(OR(A876="",K876=""),"",K876-A876)</f>
        <v/>
      </c>
      <c r="M876">
        <f>IF(B876="","",IF(K876&lt;&gt;"","Shipped",IF(F876&lt;&gt;"","Ordered, awaiting tracking","NOT ORDERED")))</f>
        <v/>
      </c>
    </row>
    <row r="877">
      <c r="C877">
        <f>IF(B877="","",RIGHT(B877,7))</f>
        <v/>
      </c>
      <c r="L877">
        <f>IF(OR(A877="",K877=""),"",K877-A877)</f>
        <v/>
      </c>
      <c r="M877">
        <f>IF(B877="","",IF(K877&lt;&gt;"","Shipped",IF(F877&lt;&gt;"","Ordered, awaiting tracking","NOT ORDERED")))</f>
        <v/>
      </c>
    </row>
    <row r="878">
      <c r="C878">
        <f>IF(B878="","",RIGHT(B878,7))</f>
        <v/>
      </c>
      <c r="L878">
        <f>IF(OR(A878="",K878=""),"",K878-A878)</f>
        <v/>
      </c>
      <c r="M878">
        <f>IF(B878="","",IF(K878&lt;&gt;"","Shipped",IF(F878&lt;&gt;"","Ordered, awaiting tracking","NOT ORDERED")))</f>
        <v/>
      </c>
    </row>
    <row r="879">
      <c r="C879">
        <f>IF(B879="","",RIGHT(B879,7))</f>
        <v/>
      </c>
      <c r="L879">
        <f>IF(OR(A879="",K879=""),"",K879-A879)</f>
        <v/>
      </c>
      <c r="M879">
        <f>IF(B879="","",IF(K879&lt;&gt;"","Shipped",IF(F879&lt;&gt;"","Ordered, awaiting tracking","NOT ORDERED")))</f>
        <v/>
      </c>
    </row>
    <row r="880">
      <c r="C880">
        <f>IF(B880="","",RIGHT(B880,7))</f>
        <v/>
      </c>
      <c r="L880">
        <f>IF(OR(A880="",K880=""),"",K880-A880)</f>
        <v/>
      </c>
      <c r="M880">
        <f>IF(B880="","",IF(K880&lt;&gt;"","Shipped",IF(F880&lt;&gt;"","Ordered, awaiting tracking","NOT ORDERED")))</f>
        <v/>
      </c>
    </row>
    <row r="881">
      <c r="C881">
        <f>IF(B881="","",RIGHT(B881,7))</f>
        <v/>
      </c>
      <c r="L881">
        <f>IF(OR(A881="",K881=""),"",K881-A881)</f>
        <v/>
      </c>
      <c r="M881">
        <f>IF(B881="","",IF(K881&lt;&gt;"","Shipped",IF(F881&lt;&gt;"","Ordered, awaiting tracking","NOT ORDERED")))</f>
        <v/>
      </c>
    </row>
    <row r="882">
      <c r="C882">
        <f>IF(B882="","",RIGHT(B882,7))</f>
        <v/>
      </c>
      <c r="L882">
        <f>IF(OR(A882="",K882=""),"",K882-A882)</f>
        <v/>
      </c>
      <c r="M882">
        <f>IF(B882="","",IF(K882&lt;&gt;"","Shipped",IF(F882&lt;&gt;"","Ordered, awaiting tracking","NOT ORDERED")))</f>
        <v/>
      </c>
    </row>
    <row r="883">
      <c r="C883">
        <f>IF(B883="","",RIGHT(B883,7))</f>
        <v/>
      </c>
      <c r="L883">
        <f>IF(OR(A883="",K883=""),"",K883-A883)</f>
        <v/>
      </c>
      <c r="M883">
        <f>IF(B883="","",IF(K883&lt;&gt;"","Shipped",IF(F883&lt;&gt;"","Ordered, awaiting tracking","NOT ORDERED")))</f>
        <v/>
      </c>
    </row>
    <row r="884">
      <c r="C884">
        <f>IF(B884="","",RIGHT(B884,7))</f>
        <v/>
      </c>
      <c r="L884">
        <f>IF(OR(A884="",K884=""),"",K884-A884)</f>
        <v/>
      </c>
      <c r="M884">
        <f>IF(B884="","",IF(K884&lt;&gt;"","Shipped",IF(F884&lt;&gt;"","Ordered, awaiting tracking","NOT ORDERED")))</f>
        <v/>
      </c>
    </row>
    <row r="885">
      <c r="C885">
        <f>IF(B885="","",RIGHT(B885,7))</f>
        <v/>
      </c>
      <c r="L885">
        <f>IF(OR(A885="",K885=""),"",K885-A885)</f>
        <v/>
      </c>
      <c r="M885">
        <f>IF(B885="","",IF(K885&lt;&gt;"","Shipped",IF(F885&lt;&gt;"","Ordered, awaiting tracking","NOT ORDERED")))</f>
        <v/>
      </c>
    </row>
    <row r="886">
      <c r="C886">
        <f>IF(B886="","",RIGHT(B886,7))</f>
        <v/>
      </c>
      <c r="L886">
        <f>IF(OR(A886="",K886=""),"",K886-A886)</f>
        <v/>
      </c>
      <c r="M886">
        <f>IF(B886="","",IF(K886&lt;&gt;"","Shipped",IF(F886&lt;&gt;"","Ordered, awaiting tracking","NOT ORDERED")))</f>
        <v/>
      </c>
    </row>
    <row r="887">
      <c r="C887">
        <f>IF(B887="","",RIGHT(B887,7))</f>
        <v/>
      </c>
      <c r="L887">
        <f>IF(OR(A887="",K887=""),"",K887-A887)</f>
        <v/>
      </c>
      <c r="M887">
        <f>IF(B887="","",IF(K887&lt;&gt;"","Shipped",IF(F887&lt;&gt;"","Ordered, awaiting tracking","NOT ORDERED")))</f>
        <v/>
      </c>
    </row>
    <row r="888">
      <c r="C888">
        <f>IF(B888="","",RIGHT(B888,7))</f>
        <v/>
      </c>
      <c r="L888">
        <f>IF(OR(A888="",K888=""),"",K888-A888)</f>
        <v/>
      </c>
      <c r="M888">
        <f>IF(B888="","",IF(K888&lt;&gt;"","Shipped",IF(F888&lt;&gt;"","Ordered, awaiting tracking","NOT ORDERED")))</f>
        <v/>
      </c>
    </row>
    <row r="889">
      <c r="C889">
        <f>IF(B889="","",RIGHT(B889,7))</f>
        <v/>
      </c>
      <c r="L889">
        <f>IF(OR(A889="",K889=""),"",K889-A889)</f>
        <v/>
      </c>
      <c r="M889">
        <f>IF(B889="","",IF(K889&lt;&gt;"","Shipped",IF(F889&lt;&gt;"","Ordered, awaiting tracking","NOT ORDERED")))</f>
        <v/>
      </c>
    </row>
    <row r="890">
      <c r="C890">
        <f>IF(B890="","",RIGHT(B890,7))</f>
        <v/>
      </c>
      <c r="L890">
        <f>IF(OR(A890="",K890=""),"",K890-A890)</f>
        <v/>
      </c>
      <c r="M890">
        <f>IF(B890="","",IF(K890&lt;&gt;"","Shipped",IF(F890&lt;&gt;"","Ordered, awaiting tracking","NOT ORDERED")))</f>
        <v/>
      </c>
    </row>
    <row r="891">
      <c r="C891">
        <f>IF(B891="","",RIGHT(B891,7))</f>
        <v/>
      </c>
      <c r="L891">
        <f>IF(OR(A891="",K891=""),"",K891-A891)</f>
        <v/>
      </c>
      <c r="M891">
        <f>IF(B891="","",IF(K891&lt;&gt;"","Shipped",IF(F891&lt;&gt;"","Ordered, awaiting tracking","NOT ORDERED")))</f>
        <v/>
      </c>
    </row>
    <row r="892">
      <c r="C892">
        <f>IF(B892="","",RIGHT(B892,7))</f>
        <v/>
      </c>
      <c r="L892">
        <f>IF(OR(A892="",K892=""),"",K892-A892)</f>
        <v/>
      </c>
      <c r="M892">
        <f>IF(B892="","",IF(K892&lt;&gt;"","Shipped",IF(F892&lt;&gt;"","Ordered, awaiting tracking","NOT ORDERED")))</f>
        <v/>
      </c>
    </row>
    <row r="893">
      <c r="C893">
        <f>IF(B893="","",RIGHT(B893,7))</f>
        <v/>
      </c>
      <c r="L893">
        <f>IF(OR(A893="",K893=""),"",K893-A893)</f>
        <v/>
      </c>
      <c r="M893">
        <f>IF(B893="","",IF(K893&lt;&gt;"","Shipped",IF(F893&lt;&gt;"","Ordered, awaiting tracking","NOT ORDERED")))</f>
        <v/>
      </c>
    </row>
    <row r="894">
      <c r="C894">
        <f>IF(B894="","",RIGHT(B894,7))</f>
        <v/>
      </c>
      <c r="L894">
        <f>IF(OR(A894="",K894=""),"",K894-A894)</f>
        <v/>
      </c>
      <c r="M894">
        <f>IF(B894="","",IF(K894&lt;&gt;"","Shipped",IF(F894&lt;&gt;"","Ordered, awaiting tracking","NOT ORDERED")))</f>
        <v/>
      </c>
    </row>
    <row r="895">
      <c r="C895">
        <f>IF(B895="","",RIGHT(B895,7))</f>
        <v/>
      </c>
      <c r="L895">
        <f>IF(OR(A895="",K895=""),"",K895-A895)</f>
        <v/>
      </c>
      <c r="M895">
        <f>IF(B895="","",IF(K895&lt;&gt;"","Shipped",IF(F895&lt;&gt;"","Ordered, awaiting tracking","NOT ORDERED")))</f>
        <v/>
      </c>
    </row>
    <row r="896">
      <c r="C896">
        <f>IF(B896="","",RIGHT(B896,7))</f>
        <v/>
      </c>
      <c r="L896">
        <f>IF(OR(A896="",K896=""),"",K896-A896)</f>
        <v/>
      </c>
      <c r="M896">
        <f>IF(B896="","",IF(K896&lt;&gt;"","Shipped",IF(F896&lt;&gt;"","Ordered, awaiting tracking","NOT ORDERED")))</f>
        <v/>
      </c>
    </row>
    <row r="897">
      <c r="C897">
        <f>IF(B897="","",RIGHT(B897,7))</f>
        <v/>
      </c>
      <c r="L897">
        <f>IF(OR(A897="",K897=""),"",K897-A897)</f>
        <v/>
      </c>
      <c r="M897">
        <f>IF(B897="","",IF(K897&lt;&gt;"","Shipped",IF(F897&lt;&gt;"","Ordered, awaiting tracking","NOT ORDERED")))</f>
        <v/>
      </c>
    </row>
    <row r="898">
      <c r="C898">
        <f>IF(B898="","",RIGHT(B898,7))</f>
        <v/>
      </c>
      <c r="L898">
        <f>IF(OR(A898="",K898=""),"",K898-A898)</f>
        <v/>
      </c>
      <c r="M898">
        <f>IF(B898="","",IF(K898&lt;&gt;"","Shipped",IF(F898&lt;&gt;"","Ordered, awaiting tracking","NOT ORDERED")))</f>
        <v/>
      </c>
    </row>
    <row r="899">
      <c r="C899">
        <f>IF(B899="","",RIGHT(B899,7))</f>
        <v/>
      </c>
      <c r="L899">
        <f>IF(OR(A899="",K899=""),"",K899-A899)</f>
        <v/>
      </c>
      <c r="M899">
        <f>IF(B899="","",IF(K899&lt;&gt;"","Shipped",IF(F899&lt;&gt;"","Ordered, awaiting tracking","NOT ORDERED")))</f>
        <v/>
      </c>
    </row>
    <row r="900">
      <c r="C900">
        <f>IF(B900="","",RIGHT(B900,7))</f>
        <v/>
      </c>
      <c r="L900">
        <f>IF(OR(A900="",K900=""),"",K900-A900)</f>
        <v/>
      </c>
      <c r="M900">
        <f>IF(B900="","",IF(K900&lt;&gt;"","Shipped",IF(F900&lt;&gt;"","Ordered, awaiting tracking","NOT ORDERED")))</f>
        <v/>
      </c>
    </row>
    <row r="901">
      <c r="C901">
        <f>IF(B901="","",RIGHT(B901,7))</f>
        <v/>
      </c>
      <c r="L901">
        <f>IF(OR(A901="",K901=""),"",K901-A901)</f>
        <v/>
      </c>
      <c r="M901">
        <f>IF(B901="","",IF(K901&lt;&gt;"","Shipped",IF(F901&lt;&gt;"","Ordered, awaiting tracking","NOT ORDERED")))</f>
        <v/>
      </c>
    </row>
    <row r="902">
      <c r="C902">
        <f>IF(B902="","",RIGHT(B902,7))</f>
        <v/>
      </c>
      <c r="L902">
        <f>IF(OR(A902="",K902=""),"",K902-A902)</f>
        <v/>
      </c>
      <c r="M902">
        <f>IF(B902="","",IF(K902&lt;&gt;"","Shipped",IF(F902&lt;&gt;"","Ordered, awaiting tracking","NOT ORDERED")))</f>
        <v/>
      </c>
    </row>
    <row r="903">
      <c r="C903">
        <f>IF(B903="","",RIGHT(B903,7))</f>
        <v/>
      </c>
      <c r="L903">
        <f>IF(OR(A903="",K903=""),"",K903-A903)</f>
        <v/>
      </c>
      <c r="M903">
        <f>IF(B903="","",IF(K903&lt;&gt;"","Shipped",IF(F903&lt;&gt;"","Ordered, awaiting tracking","NOT ORDERED")))</f>
        <v/>
      </c>
    </row>
    <row r="904">
      <c r="C904">
        <f>IF(B904="","",RIGHT(B904,7))</f>
        <v/>
      </c>
      <c r="L904">
        <f>IF(OR(A904="",K904=""),"",K904-A904)</f>
        <v/>
      </c>
      <c r="M904">
        <f>IF(B904="","",IF(K904&lt;&gt;"","Shipped",IF(F904&lt;&gt;"","Ordered, awaiting tracking","NOT ORDERED")))</f>
        <v/>
      </c>
    </row>
    <row r="905">
      <c r="C905">
        <f>IF(B905="","",RIGHT(B905,7))</f>
        <v/>
      </c>
      <c r="L905">
        <f>IF(OR(A905="",K905=""),"",K905-A905)</f>
        <v/>
      </c>
      <c r="M905">
        <f>IF(B905="","",IF(K905&lt;&gt;"","Shipped",IF(F905&lt;&gt;"","Ordered, awaiting tracking","NOT ORDERED")))</f>
        <v/>
      </c>
    </row>
    <row r="906">
      <c r="C906">
        <f>IF(B906="","",RIGHT(B906,7))</f>
        <v/>
      </c>
      <c r="L906">
        <f>IF(OR(A906="",K906=""),"",K906-A906)</f>
        <v/>
      </c>
      <c r="M906">
        <f>IF(B906="","",IF(K906&lt;&gt;"","Shipped",IF(F906&lt;&gt;"","Ordered, awaiting tracking","NOT ORDERED")))</f>
        <v/>
      </c>
    </row>
    <row r="907">
      <c r="C907">
        <f>IF(B907="","",RIGHT(B907,7))</f>
        <v/>
      </c>
      <c r="L907">
        <f>IF(OR(A907="",K907=""),"",K907-A907)</f>
        <v/>
      </c>
      <c r="M907">
        <f>IF(B907="","",IF(K907&lt;&gt;"","Shipped",IF(F907&lt;&gt;"","Ordered, awaiting tracking","NOT ORDERED")))</f>
        <v/>
      </c>
    </row>
    <row r="908">
      <c r="C908">
        <f>IF(B908="","",RIGHT(B908,7))</f>
        <v/>
      </c>
      <c r="L908">
        <f>IF(OR(A908="",K908=""),"",K908-A908)</f>
        <v/>
      </c>
      <c r="M908">
        <f>IF(B908="","",IF(K908&lt;&gt;"","Shipped",IF(F908&lt;&gt;"","Ordered, awaiting tracking","NOT ORDERED")))</f>
        <v/>
      </c>
    </row>
    <row r="909">
      <c r="C909">
        <f>IF(B909="","",RIGHT(B909,7))</f>
        <v/>
      </c>
      <c r="L909">
        <f>IF(OR(A909="",K909=""),"",K909-A909)</f>
        <v/>
      </c>
      <c r="M909">
        <f>IF(B909="","",IF(K909&lt;&gt;"","Shipped",IF(F909&lt;&gt;"","Ordered, awaiting tracking","NOT ORDERED")))</f>
        <v/>
      </c>
    </row>
    <row r="910">
      <c r="C910">
        <f>IF(B910="","",RIGHT(B910,7))</f>
        <v/>
      </c>
      <c r="L910">
        <f>IF(OR(A910="",K910=""),"",K910-A910)</f>
        <v/>
      </c>
      <c r="M910">
        <f>IF(B910="","",IF(K910&lt;&gt;"","Shipped",IF(F910&lt;&gt;"","Ordered, awaiting tracking","NOT ORDERED")))</f>
        <v/>
      </c>
    </row>
    <row r="911">
      <c r="C911">
        <f>IF(B911="","",RIGHT(B911,7))</f>
        <v/>
      </c>
      <c r="L911">
        <f>IF(OR(A911="",K911=""),"",K911-A911)</f>
        <v/>
      </c>
      <c r="M911">
        <f>IF(B911="","",IF(K911&lt;&gt;"","Shipped",IF(F911&lt;&gt;"","Ordered, awaiting tracking","NOT ORDERED")))</f>
        <v/>
      </c>
    </row>
    <row r="912">
      <c r="C912">
        <f>IF(B912="","",RIGHT(B912,7))</f>
        <v/>
      </c>
      <c r="L912">
        <f>IF(OR(A912="",K912=""),"",K912-A912)</f>
        <v/>
      </c>
      <c r="M912">
        <f>IF(B912="","",IF(K912&lt;&gt;"","Shipped",IF(F912&lt;&gt;"","Ordered, awaiting tracking","NOT ORDERED")))</f>
        <v/>
      </c>
    </row>
    <row r="913">
      <c r="C913">
        <f>IF(B913="","",RIGHT(B913,7))</f>
        <v/>
      </c>
      <c r="L913">
        <f>IF(OR(A913="",K913=""),"",K913-A913)</f>
        <v/>
      </c>
      <c r="M913">
        <f>IF(B913="","",IF(K913&lt;&gt;"","Shipped",IF(F913&lt;&gt;"","Ordered, awaiting tracking","NOT ORDERED")))</f>
        <v/>
      </c>
    </row>
    <row r="914">
      <c r="C914">
        <f>IF(B914="","",RIGHT(B914,7))</f>
        <v/>
      </c>
      <c r="L914">
        <f>IF(OR(A914="",K914=""),"",K914-A914)</f>
        <v/>
      </c>
      <c r="M914">
        <f>IF(B914="","",IF(K914&lt;&gt;"","Shipped",IF(F914&lt;&gt;"","Ordered, awaiting tracking","NOT ORDERED")))</f>
        <v/>
      </c>
    </row>
    <row r="915">
      <c r="C915">
        <f>IF(B915="","",RIGHT(B915,7))</f>
        <v/>
      </c>
      <c r="L915">
        <f>IF(OR(A915="",K915=""),"",K915-A915)</f>
        <v/>
      </c>
      <c r="M915">
        <f>IF(B915="","",IF(K915&lt;&gt;"","Shipped",IF(F915&lt;&gt;"","Ordered, awaiting tracking","NOT ORDERED")))</f>
        <v/>
      </c>
    </row>
    <row r="916">
      <c r="C916">
        <f>IF(B916="","",RIGHT(B916,7))</f>
        <v/>
      </c>
      <c r="L916">
        <f>IF(OR(A916="",K916=""),"",K916-A916)</f>
        <v/>
      </c>
      <c r="M916">
        <f>IF(B916="","",IF(K916&lt;&gt;"","Shipped",IF(F916&lt;&gt;"","Ordered, awaiting tracking","NOT ORDERED")))</f>
        <v/>
      </c>
    </row>
    <row r="917">
      <c r="C917">
        <f>IF(B917="","",RIGHT(B917,7))</f>
        <v/>
      </c>
      <c r="L917">
        <f>IF(OR(A917="",K917=""),"",K917-A917)</f>
        <v/>
      </c>
      <c r="M917">
        <f>IF(B917="","",IF(K917&lt;&gt;"","Shipped",IF(F917&lt;&gt;"","Ordered, awaiting tracking","NOT ORDERED")))</f>
        <v/>
      </c>
    </row>
    <row r="918">
      <c r="C918">
        <f>IF(B918="","",RIGHT(B918,7))</f>
        <v/>
      </c>
      <c r="L918">
        <f>IF(OR(A918="",K918=""),"",K918-A918)</f>
        <v/>
      </c>
      <c r="M918">
        <f>IF(B918="","",IF(K918&lt;&gt;"","Shipped",IF(F918&lt;&gt;"","Ordered, awaiting tracking","NOT ORDERED")))</f>
        <v/>
      </c>
    </row>
    <row r="919">
      <c r="C919">
        <f>IF(B919="","",RIGHT(B919,7))</f>
        <v/>
      </c>
      <c r="L919">
        <f>IF(OR(A919="",K919=""),"",K919-A919)</f>
        <v/>
      </c>
      <c r="M919">
        <f>IF(B919="","",IF(K919&lt;&gt;"","Shipped",IF(F919&lt;&gt;"","Ordered, awaiting tracking","NOT ORDERED")))</f>
        <v/>
      </c>
    </row>
    <row r="920">
      <c r="C920">
        <f>IF(B920="","",RIGHT(B920,7))</f>
        <v/>
      </c>
      <c r="L920">
        <f>IF(OR(A920="",K920=""),"",K920-A920)</f>
        <v/>
      </c>
      <c r="M920">
        <f>IF(B920="","",IF(K920&lt;&gt;"","Shipped",IF(F920&lt;&gt;"","Ordered, awaiting tracking","NOT ORDERED")))</f>
        <v/>
      </c>
    </row>
    <row r="921">
      <c r="C921">
        <f>IF(B921="","",RIGHT(B921,7))</f>
        <v/>
      </c>
      <c r="L921">
        <f>IF(OR(A921="",K921=""),"",K921-A921)</f>
        <v/>
      </c>
      <c r="M921">
        <f>IF(B921="","",IF(K921&lt;&gt;"","Shipped",IF(F921&lt;&gt;"","Ordered, awaiting tracking","NOT ORDERED")))</f>
        <v/>
      </c>
    </row>
    <row r="922">
      <c r="C922">
        <f>IF(B922="","",RIGHT(B922,7))</f>
        <v/>
      </c>
      <c r="L922">
        <f>IF(OR(A922="",K922=""),"",K922-A922)</f>
        <v/>
      </c>
      <c r="M922">
        <f>IF(B922="","",IF(K922&lt;&gt;"","Shipped",IF(F922&lt;&gt;"","Ordered, awaiting tracking","NOT ORDERED")))</f>
        <v/>
      </c>
    </row>
    <row r="923">
      <c r="C923">
        <f>IF(B923="","",RIGHT(B923,7))</f>
        <v/>
      </c>
      <c r="L923">
        <f>IF(OR(A923="",K923=""),"",K923-A923)</f>
        <v/>
      </c>
      <c r="M923">
        <f>IF(B923="","",IF(K923&lt;&gt;"","Shipped",IF(F923&lt;&gt;"","Ordered, awaiting tracking","NOT ORDERED")))</f>
        <v/>
      </c>
    </row>
    <row r="924">
      <c r="C924">
        <f>IF(B924="","",RIGHT(B924,7))</f>
        <v/>
      </c>
      <c r="L924">
        <f>IF(OR(A924="",K924=""),"",K924-A924)</f>
        <v/>
      </c>
      <c r="M924">
        <f>IF(B924="","",IF(K924&lt;&gt;"","Shipped",IF(F924&lt;&gt;"","Ordered, awaiting tracking","NOT ORDERED")))</f>
        <v/>
      </c>
    </row>
    <row r="925">
      <c r="C925">
        <f>IF(B925="","",RIGHT(B925,7))</f>
        <v/>
      </c>
      <c r="L925">
        <f>IF(OR(A925="",K925=""),"",K925-A925)</f>
        <v/>
      </c>
      <c r="M925">
        <f>IF(B925="","",IF(K925&lt;&gt;"","Shipped",IF(F925&lt;&gt;"","Ordered, awaiting tracking","NOT ORDERED")))</f>
        <v/>
      </c>
    </row>
    <row r="926">
      <c r="C926">
        <f>IF(B926="","",RIGHT(B926,7))</f>
        <v/>
      </c>
      <c r="L926">
        <f>IF(OR(A926="",K926=""),"",K926-A926)</f>
        <v/>
      </c>
      <c r="M926">
        <f>IF(B926="","",IF(K926&lt;&gt;"","Shipped",IF(F926&lt;&gt;"","Ordered, awaiting tracking","NOT ORDERED")))</f>
        <v/>
      </c>
    </row>
    <row r="927">
      <c r="C927">
        <f>IF(B927="","",RIGHT(B927,7))</f>
        <v/>
      </c>
      <c r="L927">
        <f>IF(OR(A927="",K927=""),"",K927-A927)</f>
        <v/>
      </c>
      <c r="M927">
        <f>IF(B927="","",IF(K927&lt;&gt;"","Shipped",IF(F927&lt;&gt;"","Ordered, awaiting tracking","NOT ORDERED")))</f>
        <v/>
      </c>
    </row>
    <row r="928">
      <c r="C928">
        <f>IF(B928="","",RIGHT(B928,7))</f>
        <v/>
      </c>
      <c r="L928">
        <f>IF(OR(A928="",K928=""),"",K928-A928)</f>
        <v/>
      </c>
      <c r="M928">
        <f>IF(B928="","",IF(K928&lt;&gt;"","Shipped",IF(F928&lt;&gt;"","Ordered, awaiting tracking","NOT ORDERED")))</f>
        <v/>
      </c>
    </row>
    <row r="929">
      <c r="C929">
        <f>IF(B929="","",RIGHT(B929,7))</f>
        <v/>
      </c>
      <c r="L929">
        <f>IF(OR(A929="",K929=""),"",K929-A929)</f>
        <v/>
      </c>
      <c r="M929">
        <f>IF(B929="","",IF(K929&lt;&gt;"","Shipped",IF(F929&lt;&gt;"","Ordered, awaiting tracking","NOT ORDERED")))</f>
        <v/>
      </c>
    </row>
    <row r="930">
      <c r="C930">
        <f>IF(B930="","",RIGHT(B930,7))</f>
        <v/>
      </c>
      <c r="L930">
        <f>IF(OR(A930="",K930=""),"",K930-A930)</f>
        <v/>
      </c>
      <c r="M930">
        <f>IF(B930="","",IF(K930&lt;&gt;"","Shipped",IF(F930&lt;&gt;"","Ordered, awaiting tracking","NOT ORDERED")))</f>
        <v/>
      </c>
    </row>
    <row r="931">
      <c r="C931">
        <f>IF(B931="","",RIGHT(B931,7))</f>
        <v/>
      </c>
      <c r="L931">
        <f>IF(OR(A931="",K931=""),"",K931-A931)</f>
        <v/>
      </c>
      <c r="M931">
        <f>IF(B931="","",IF(K931&lt;&gt;"","Shipped",IF(F931&lt;&gt;"","Ordered, awaiting tracking","NOT ORDERED")))</f>
        <v/>
      </c>
    </row>
    <row r="932">
      <c r="C932">
        <f>IF(B932="","",RIGHT(B932,7))</f>
        <v/>
      </c>
      <c r="L932">
        <f>IF(OR(A932="",K932=""),"",K932-A932)</f>
        <v/>
      </c>
      <c r="M932">
        <f>IF(B932="","",IF(K932&lt;&gt;"","Shipped",IF(F932&lt;&gt;"","Ordered, awaiting tracking","NOT ORDERED")))</f>
        <v/>
      </c>
    </row>
    <row r="933">
      <c r="C933">
        <f>IF(B933="","",RIGHT(B933,7))</f>
        <v/>
      </c>
      <c r="L933">
        <f>IF(OR(A933="",K933=""),"",K933-A933)</f>
        <v/>
      </c>
      <c r="M933">
        <f>IF(B933="","",IF(K933&lt;&gt;"","Shipped",IF(F933&lt;&gt;"","Ordered, awaiting tracking","NOT ORDERED")))</f>
        <v/>
      </c>
    </row>
    <row r="934">
      <c r="C934">
        <f>IF(B934="","",RIGHT(B934,7))</f>
        <v/>
      </c>
      <c r="L934">
        <f>IF(OR(A934="",K934=""),"",K934-A934)</f>
        <v/>
      </c>
      <c r="M934">
        <f>IF(B934="","",IF(K934&lt;&gt;"","Shipped",IF(F934&lt;&gt;"","Ordered, awaiting tracking","NOT ORDERED")))</f>
        <v/>
      </c>
    </row>
    <row r="935">
      <c r="C935">
        <f>IF(B935="","",RIGHT(B935,7))</f>
        <v/>
      </c>
      <c r="L935">
        <f>IF(OR(A935="",K935=""),"",K935-A935)</f>
        <v/>
      </c>
      <c r="M935">
        <f>IF(B935="","",IF(K935&lt;&gt;"","Shipped",IF(F935&lt;&gt;"","Ordered, awaiting tracking","NOT ORDERED")))</f>
        <v/>
      </c>
    </row>
    <row r="936">
      <c r="C936">
        <f>IF(B936="","",RIGHT(B936,7))</f>
        <v/>
      </c>
      <c r="L936">
        <f>IF(OR(A936="",K936=""),"",K936-A936)</f>
        <v/>
      </c>
      <c r="M936">
        <f>IF(B936="","",IF(K936&lt;&gt;"","Shipped",IF(F936&lt;&gt;"","Ordered, awaiting tracking","NOT ORDERED")))</f>
        <v/>
      </c>
    </row>
    <row r="937">
      <c r="C937">
        <f>IF(B937="","",RIGHT(B937,7))</f>
        <v/>
      </c>
      <c r="L937">
        <f>IF(OR(A937="",K937=""),"",K937-A937)</f>
        <v/>
      </c>
      <c r="M937">
        <f>IF(B937="","",IF(K937&lt;&gt;"","Shipped",IF(F937&lt;&gt;"","Ordered, awaiting tracking","NOT ORDERED")))</f>
        <v/>
      </c>
    </row>
    <row r="938">
      <c r="C938">
        <f>IF(B938="","",RIGHT(B938,7))</f>
        <v/>
      </c>
      <c r="L938">
        <f>IF(OR(A938="",K938=""),"",K938-A938)</f>
        <v/>
      </c>
      <c r="M938">
        <f>IF(B938="","",IF(K938&lt;&gt;"","Shipped",IF(F938&lt;&gt;"","Ordered, awaiting tracking","NOT ORDERED")))</f>
        <v/>
      </c>
    </row>
    <row r="939">
      <c r="C939">
        <f>IF(B939="","",RIGHT(B939,7))</f>
        <v/>
      </c>
      <c r="L939">
        <f>IF(OR(A939="",K939=""),"",K939-A939)</f>
        <v/>
      </c>
      <c r="M939">
        <f>IF(B939="","",IF(K939&lt;&gt;"","Shipped",IF(F939&lt;&gt;"","Ordered, awaiting tracking","NOT ORDERED")))</f>
        <v/>
      </c>
    </row>
    <row r="940">
      <c r="C940">
        <f>IF(B940="","",RIGHT(B940,7))</f>
        <v/>
      </c>
      <c r="L940">
        <f>IF(OR(A940="",K940=""),"",K940-A940)</f>
        <v/>
      </c>
      <c r="M940">
        <f>IF(B940="","",IF(K940&lt;&gt;"","Shipped",IF(F940&lt;&gt;"","Ordered, awaiting tracking","NOT ORDERED")))</f>
        <v/>
      </c>
    </row>
    <row r="941">
      <c r="C941">
        <f>IF(B941="","",RIGHT(B941,7))</f>
        <v/>
      </c>
      <c r="L941">
        <f>IF(OR(A941="",K941=""),"",K941-A941)</f>
        <v/>
      </c>
      <c r="M941">
        <f>IF(B941="","",IF(K941&lt;&gt;"","Shipped",IF(F941&lt;&gt;"","Ordered, awaiting tracking","NOT ORDERED")))</f>
        <v/>
      </c>
    </row>
    <row r="942">
      <c r="C942">
        <f>IF(B942="","",RIGHT(B942,7))</f>
        <v/>
      </c>
      <c r="L942">
        <f>IF(OR(A942="",K942=""),"",K942-A942)</f>
        <v/>
      </c>
      <c r="M942">
        <f>IF(B942="","",IF(K942&lt;&gt;"","Shipped",IF(F942&lt;&gt;"","Ordered, awaiting tracking","NOT ORDERED")))</f>
        <v/>
      </c>
    </row>
    <row r="943">
      <c r="C943">
        <f>IF(B943="","",RIGHT(B943,7))</f>
        <v/>
      </c>
      <c r="L943">
        <f>IF(OR(A943="",K943=""),"",K943-A943)</f>
        <v/>
      </c>
      <c r="M943">
        <f>IF(B943="","",IF(K943&lt;&gt;"","Shipped",IF(F943&lt;&gt;"","Ordered, awaiting tracking","NOT ORDERED")))</f>
        <v/>
      </c>
    </row>
    <row r="944">
      <c r="C944">
        <f>IF(B944="","",RIGHT(B944,7))</f>
        <v/>
      </c>
      <c r="L944">
        <f>IF(OR(A944="",K944=""),"",K944-A944)</f>
        <v/>
      </c>
      <c r="M944">
        <f>IF(B944="","",IF(K944&lt;&gt;"","Shipped",IF(F944&lt;&gt;"","Ordered, awaiting tracking","NOT ORDERED")))</f>
        <v/>
      </c>
    </row>
    <row r="945">
      <c r="C945">
        <f>IF(B945="","",RIGHT(B945,7))</f>
        <v/>
      </c>
      <c r="L945">
        <f>IF(OR(A945="",K945=""),"",K945-A945)</f>
        <v/>
      </c>
      <c r="M945">
        <f>IF(B945="","",IF(K945&lt;&gt;"","Shipped",IF(F945&lt;&gt;"","Ordered, awaiting tracking","NOT ORDERED")))</f>
        <v/>
      </c>
    </row>
    <row r="946">
      <c r="C946">
        <f>IF(B946="","",RIGHT(B946,7))</f>
        <v/>
      </c>
      <c r="L946">
        <f>IF(OR(A946="",K946=""),"",K946-A946)</f>
        <v/>
      </c>
      <c r="M946">
        <f>IF(B946="","",IF(K946&lt;&gt;"","Shipped",IF(F946&lt;&gt;"","Ordered, awaiting tracking","NOT ORDERED")))</f>
        <v/>
      </c>
    </row>
    <row r="947">
      <c r="C947">
        <f>IF(B947="","",RIGHT(B947,7))</f>
        <v/>
      </c>
      <c r="L947">
        <f>IF(OR(A947="",K947=""),"",K947-A947)</f>
        <v/>
      </c>
      <c r="M947">
        <f>IF(B947="","",IF(K947&lt;&gt;"","Shipped",IF(F947&lt;&gt;"","Ordered, awaiting tracking","NOT ORDERED")))</f>
        <v/>
      </c>
    </row>
    <row r="948">
      <c r="C948">
        <f>IF(B948="","",RIGHT(B948,7))</f>
        <v/>
      </c>
      <c r="L948">
        <f>IF(OR(A948="",K948=""),"",K948-A948)</f>
        <v/>
      </c>
      <c r="M948">
        <f>IF(B948="","",IF(K948&lt;&gt;"","Shipped",IF(F948&lt;&gt;"","Ordered, awaiting tracking","NOT ORDERED")))</f>
        <v/>
      </c>
    </row>
    <row r="949">
      <c r="C949">
        <f>IF(B949="","",RIGHT(B949,7))</f>
        <v/>
      </c>
      <c r="L949">
        <f>IF(OR(A949="",K949=""),"",K949-A949)</f>
        <v/>
      </c>
      <c r="M949">
        <f>IF(B949="","",IF(K949&lt;&gt;"","Shipped",IF(F949&lt;&gt;"","Ordered, awaiting tracking","NOT ORDERED")))</f>
        <v/>
      </c>
    </row>
    <row r="950">
      <c r="C950">
        <f>IF(B950="","",RIGHT(B950,7))</f>
        <v/>
      </c>
      <c r="L950">
        <f>IF(OR(A950="",K950=""),"",K950-A950)</f>
        <v/>
      </c>
      <c r="M950">
        <f>IF(B950="","",IF(K950&lt;&gt;"","Shipped",IF(F950&lt;&gt;"","Ordered, awaiting tracking","NOT ORDERED")))</f>
        <v/>
      </c>
    </row>
    <row r="951">
      <c r="C951">
        <f>IF(B951="","",RIGHT(B951,7))</f>
        <v/>
      </c>
      <c r="L951">
        <f>IF(OR(A951="",K951=""),"",K951-A951)</f>
        <v/>
      </c>
      <c r="M951">
        <f>IF(B951="","",IF(K951&lt;&gt;"","Shipped",IF(F951&lt;&gt;"","Ordered, awaiting tracking","NOT ORDERED")))</f>
        <v/>
      </c>
    </row>
    <row r="952">
      <c r="C952">
        <f>IF(B952="","",RIGHT(B952,7))</f>
        <v/>
      </c>
      <c r="L952">
        <f>IF(OR(A952="",K952=""),"",K952-A952)</f>
        <v/>
      </c>
      <c r="M952">
        <f>IF(B952="","",IF(K952&lt;&gt;"","Shipped",IF(F952&lt;&gt;"","Ordered, awaiting tracking","NOT ORDERED")))</f>
        <v/>
      </c>
    </row>
    <row r="953">
      <c r="C953">
        <f>IF(B953="","",RIGHT(B953,7))</f>
        <v/>
      </c>
      <c r="L953">
        <f>IF(OR(A953="",K953=""),"",K953-A953)</f>
        <v/>
      </c>
      <c r="M953">
        <f>IF(B953="","",IF(K953&lt;&gt;"","Shipped",IF(F953&lt;&gt;"","Ordered, awaiting tracking","NOT ORDERED")))</f>
        <v/>
      </c>
    </row>
    <row r="954">
      <c r="C954">
        <f>IF(B954="","",RIGHT(B954,7))</f>
        <v/>
      </c>
      <c r="L954">
        <f>IF(OR(A954="",K954=""),"",K954-A954)</f>
        <v/>
      </c>
      <c r="M954">
        <f>IF(B954="","",IF(K954&lt;&gt;"","Shipped",IF(F954&lt;&gt;"","Ordered, awaiting tracking","NOT ORDERED")))</f>
        <v/>
      </c>
    </row>
    <row r="955">
      <c r="C955">
        <f>IF(B955="","",RIGHT(B955,7))</f>
        <v/>
      </c>
      <c r="L955">
        <f>IF(OR(A955="",K955=""),"",K955-A955)</f>
        <v/>
      </c>
      <c r="M955">
        <f>IF(B955="","",IF(K955&lt;&gt;"","Shipped",IF(F955&lt;&gt;"","Ordered, awaiting tracking","NOT ORDERED")))</f>
        <v/>
      </c>
    </row>
    <row r="956">
      <c r="C956">
        <f>IF(B956="","",RIGHT(B956,7))</f>
        <v/>
      </c>
      <c r="L956">
        <f>IF(OR(A956="",K956=""),"",K956-A956)</f>
        <v/>
      </c>
      <c r="M956">
        <f>IF(B956="","",IF(K956&lt;&gt;"","Shipped",IF(F956&lt;&gt;"","Ordered, awaiting tracking","NOT ORDERED")))</f>
        <v/>
      </c>
    </row>
    <row r="957">
      <c r="C957">
        <f>IF(B957="","",RIGHT(B957,7))</f>
        <v/>
      </c>
      <c r="L957">
        <f>IF(OR(A957="",K957=""),"",K957-A957)</f>
        <v/>
      </c>
      <c r="M957">
        <f>IF(B957="","",IF(K957&lt;&gt;"","Shipped",IF(F957&lt;&gt;"","Ordered, awaiting tracking","NOT ORDERED")))</f>
        <v/>
      </c>
    </row>
    <row r="958">
      <c r="C958">
        <f>IF(B958="","",RIGHT(B958,7))</f>
        <v/>
      </c>
      <c r="L958">
        <f>IF(OR(A958="",K958=""),"",K958-A958)</f>
        <v/>
      </c>
      <c r="M958">
        <f>IF(B958="","",IF(K958&lt;&gt;"","Shipped",IF(F958&lt;&gt;"","Ordered, awaiting tracking","NOT ORDERED")))</f>
        <v/>
      </c>
    </row>
    <row r="959">
      <c r="C959">
        <f>IF(B959="","",RIGHT(B959,7))</f>
        <v/>
      </c>
      <c r="L959">
        <f>IF(OR(A959="",K959=""),"",K959-A959)</f>
        <v/>
      </c>
      <c r="M959">
        <f>IF(B959="","",IF(K959&lt;&gt;"","Shipped",IF(F959&lt;&gt;"","Ordered, awaiting tracking","NOT ORDERED")))</f>
        <v/>
      </c>
    </row>
    <row r="960">
      <c r="C960">
        <f>IF(B960="","",RIGHT(B960,7))</f>
        <v/>
      </c>
      <c r="L960">
        <f>IF(OR(A960="",K960=""),"",K960-A960)</f>
        <v/>
      </c>
      <c r="M960">
        <f>IF(B960="","",IF(K960&lt;&gt;"","Shipped",IF(F960&lt;&gt;"","Ordered, awaiting tracking","NOT ORDERED")))</f>
        <v/>
      </c>
    </row>
    <row r="961">
      <c r="C961">
        <f>IF(B961="","",RIGHT(B961,7))</f>
        <v/>
      </c>
      <c r="L961">
        <f>IF(OR(A961="",K961=""),"",K961-A961)</f>
        <v/>
      </c>
      <c r="M961">
        <f>IF(B961="","",IF(K961&lt;&gt;"","Shipped",IF(F961&lt;&gt;"","Ordered, awaiting tracking","NOT ORDERED")))</f>
        <v/>
      </c>
    </row>
    <row r="962">
      <c r="C962">
        <f>IF(B962="","",RIGHT(B962,7))</f>
        <v/>
      </c>
      <c r="L962">
        <f>IF(OR(A962="",K962=""),"",K962-A962)</f>
        <v/>
      </c>
      <c r="M962">
        <f>IF(B962="","",IF(K962&lt;&gt;"","Shipped",IF(F962&lt;&gt;"","Ordered, awaiting tracking","NOT ORDERED")))</f>
        <v/>
      </c>
    </row>
    <row r="963">
      <c r="C963">
        <f>IF(B963="","",RIGHT(B963,7))</f>
        <v/>
      </c>
      <c r="L963">
        <f>IF(OR(A963="",K963=""),"",K963-A963)</f>
        <v/>
      </c>
      <c r="M963">
        <f>IF(B963="","",IF(K963&lt;&gt;"","Shipped",IF(F963&lt;&gt;"","Ordered, awaiting tracking","NOT ORDERED")))</f>
        <v/>
      </c>
    </row>
    <row r="964">
      <c r="C964">
        <f>IF(B964="","",RIGHT(B964,7))</f>
        <v/>
      </c>
      <c r="L964">
        <f>IF(OR(A964="",K964=""),"",K964-A964)</f>
        <v/>
      </c>
      <c r="M964">
        <f>IF(B964="","",IF(K964&lt;&gt;"","Shipped",IF(F964&lt;&gt;"","Ordered, awaiting tracking","NOT ORDERED")))</f>
        <v/>
      </c>
    </row>
    <row r="965">
      <c r="C965">
        <f>IF(B965="","",RIGHT(B965,7))</f>
        <v/>
      </c>
      <c r="L965">
        <f>IF(OR(A965="",K965=""),"",K965-A965)</f>
        <v/>
      </c>
      <c r="M965">
        <f>IF(B965="","",IF(K965&lt;&gt;"","Shipped",IF(F965&lt;&gt;"","Ordered, awaiting tracking","NOT ORDERED")))</f>
        <v/>
      </c>
    </row>
    <row r="966">
      <c r="C966">
        <f>IF(B966="","",RIGHT(B966,7))</f>
        <v/>
      </c>
      <c r="L966">
        <f>IF(OR(A966="",K966=""),"",K966-A966)</f>
        <v/>
      </c>
      <c r="M966">
        <f>IF(B966="","",IF(K966&lt;&gt;"","Shipped",IF(F966&lt;&gt;"","Ordered, awaiting tracking","NOT ORDERED")))</f>
        <v/>
      </c>
    </row>
    <row r="967">
      <c r="C967">
        <f>IF(B967="","",RIGHT(B967,7))</f>
        <v/>
      </c>
      <c r="L967">
        <f>IF(OR(A967="",K967=""),"",K967-A967)</f>
        <v/>
      </c>
      <c r="M967">
        <f>IF(B967="","",IF(K967&lt;&gt;"","Shipped",IF(F967&lt;&gt;"","Ordered, awaiting tracking","NOT ORDERED")))</f>
        <v/>
      </c>
    </row>
    <row r="968">
      <c r="C968">
        <f>IF(B968="","",RIGHT(B968,7))</f>
        <v/>
      </c>
      <c r="L968">
        <f>IF(OR(A968="",K968=""),"",K968-A968)</f>
        <v/>
      </c>
      <c r="M968">
        <f>IF(B968="","",IF(K968&lt;&gt;"","Shipped",IF(F968&lt;&gt;"","Ordered, awaiting tracking","NOT ORDERED")))</f>
        <v/>
      </c>
    </row>
    <row r="969">
      <c r="C969">
        <f>IF(B969="","",RIGHT(B969,7))</f>
        <v/>
      </c>
      <c r="L969">
        <f>IF(OR(A969="",K969=""),"",K969-A969)</f>
        <v/>
      </c>
      <c r="M969">
        <f>IF(B969="","",IF(K969&lt;&gt;"","Shipped",IF(F969&lt;&gt;"","Ordered, awaiting tracking","NOT ORDERED")))</f>
        <v/>
      </c>
    </row>
    <row r="970">
      <c r="C970">
        <f>IF(B970="","",RIGHT(B970,7))</f>
        <v/>
      </c>
      <c r="L970">
        <f>IF(OR(A970="",K970=""),"",K970-A970)</f>
        <v/>
      </c>
      <c r="M970">
        <f>IF(B970="","",IF(K970&lt;&gt;"","Shipped",IF(F970&lt;&gt;"","Ordered, awaiting tracking","NOT ORDERED")))</f>
        <v/>
      </c>
    </row>
    <row r="971">
      <c r="C971">
        <f>IF(B971="","",RIGHT(B971,7))</f>
        <v/>
      </c>
      <c r="L971">
        <f>IF(OR(A971="",K971=""),"",K971-A971)</f>
        <v/>
      </c>
      <c r="M971">
        <f>IF(B971="","",IF(K971&lt;&gt;"","Shipped",IF(F971&lt;&gt;"","Ordered, awaiting tracking","NOT ORDERED")))</f>
        <v/>
      </c>
    </row>
    <row r="972">
      <c r="C972">
        <f>IF(B972="","",RIGHT(B972,7))</f>
        <v/>
      </c>
      <c r="L972">
        <f>IF(OR(A972="",K972=""),"",K972-A972)</f>
        <v/>
      </c>
      <c r="M972">
        <f>IF(B972="","",IF(K972&lt;&gt;"","Shipped",IF(F972&lt;&gt;"","Ordered, awaiting tracking","NOT ORDERED")))</f>
        <v/>
      </c>
    </row>
    <row r="973">
      <c r="C973">
        <f>IF(B973="","",RIGHT(B973,7))</f>
        <v/>
      </c>
      <c r="L973">
        <f>IF(OR(A973="",K973=""),"",K973-A973)</f>
        <v/>
      </c>
      <c r="M973">
        <f>IF(B973="","",IF(K973&lt;&gt;"","Shipped",IF(F973&lt;&gt;"","Ordered, awaiting tracking","NOT ORDERED")))</f>
        <v/>
      </c>
    </row>
    <row r="974">
      <c r="C974">
        <f>IF(B974="","",RIGHT(B974,7))</f>
        <v/>
      </c>
      <c r="L974">
        <f>IF(OR(A974="",K974=""),"",K974-A974)</f>
        <v/>
      </c>
      <c r="M974">
        <f>IF(B974="","",IF(K974&lt;&gt;"","Shipped",IF(F974&lt;&gt;"","Ordered, awaiting tracking","NOT ORDERED")))</f>
        <v/>
      </c>
    </row>
    <row r="975">
      <c r="C975">
        <f>IF(B975="","",RIGHT(B975,7))</f>
        <v/>
      </c>
      <c r="L975">
        <f>IF(OR(A975="",K975=""),"",K975-A975)</f>
        <v/>
      </c>
      <c r="M975">
        <f>IF(B975="","",IF(K975&lt;&gt;"","Shipped",IF(F975&lt;&gt;"","Ordered, awaiting tracking","NOT ORDERED")))</f>
        <v/>
      </c>
    </row>
    <row r="976">
      <c r="C976">
        <f>IF(B976="","",RIGHT(B976,7))</f>
        <v/>
      </c>
      <c r="L976">
        <f>IF(OR(A976="",K976=""),"",K976-A976)</f>
        <v/>
      </c>
      <c r="M976">
        <f>IF(B976="","",IF(K976&lt;&gt;"","Shipped",IF(F976&lt;&gt;"","Ordered, awaiting tracking","NOT ORDERED")))</f>
        <v/>
      </c>
    </row>
    <row r="977">
      <c r="C977">
        <f>IF(B977="","",RIGHT(B977,7))</f>
        <v/>
      </c>
      <c r="L977">
        <f>IF(OR(A977="",K977=""),"",K977-A977)</f>
        <v/>
      </c>
      <c r="M977">
        <f>IF(B977="","",IF(K977&lt;&gt;"","Shipped",IF(F977&lt;&gt;"","Ordered, awaiting tracking","NOT ORDERED")))</f>
        <v/>
      </c>
    </row>
    <row r="978">
      <c r="C978">
        <f>IF(B978="","",RIGHT(B978,7))</f>
        <v/>
      </c>
      <c r="L978">
        <f>IF(OR(A978="",K978=""),"",K978-A978)</f>
        <v/>
      </c>
      <c r="M978">
        <f>IF(B978="","",IF(K978&lt;&gt;"","Shipped",IF(F978&lt;&gt;"","Ordered, awaiting tracking","NOT ORDERED")))</f>
        <v/>
      </c>
    </row>
    <row r="979">
      <c r="C979">
        <f>IF(B979="","",RIGHT(B979,7))</f>
        <v/>
      </c>
      <c r="L979">
        <f>IF(OR(A979="",K979=""),"",K979-A979)</f>
        <v/>
      </c>
      <c r="M979">
        <f>IF(B979="","",IF(K979&lt;&gt;"","Shipped",IF(F979&lt;&gt;"","Ordered, awaiting tracking","NOT ORDERED")))</f>
        <v/>
      </c>
    </row>
    <row r="980">
      <c r="C980">
        <f>IF(B980="","",RIGHT(B980,7))</f>
        <v/>
      </c>
      <c r="L980">
        <f>IF(OR(A980="",K980=""),"",K980-A980)</f>
        <v/>
      </c>
      <c r="M980">
        <f>IF(B980="","",IF(K980&lt;&gt;"","Shipped",IF(F980&lt;&gt;"","Ordered, awaiting tracking","NOT ORDERED")))</f>
        <v/>
      </c>
    </row>
    <row r="981">
      <c r="C981">
        <f>IF(B981="","",RIGHT(B981,7))</f>
        <v/>
      </c>
      <c r="L981">
        <f>IF(OR(A981="",K981=""),"",K981-A981)</f>
        <v/>
      </c>
      <c r="M981">
        <f>IF(B981="","",IF(K981&lt;&gt;"","Shipped",IF(F981&lt;&gt;"","Ordered, awaiting tracking","NOT ORDERED")))</f>
        <v/>
      </c>
    </row>
    <row r="982">
      <c r="C982">
        <f>IF(B982="","",RIGHT(B982,7))</f>
        <v/>
      </c>
      <c r="L982">
        <f>IF(OR(A982="",K982=""),"",K982-A982)</f>
        <v/>
      </c>
      <c r="M982">
        <f>IF(B982="","",IF(K982&lt;&gt;"","Shipped",IF(F982&lt;&gt;"","Ordered, awaiting tracking","NOT ORDERED")))</f>
        <v/>
      </c>
    </row>
    <row r="983">
      <c r="C983">
        <f>IF(B983="","",RIGHT(B983,7))</f>
        <v/>
      </c>
      <c r="L983">
        <f>IF(OR(A983="",K983=""),"",K983-A983)</f>
        <v/>
      </c>
      <c r="M983">
        <f>IF(B983="","",IF(K983&lt;&gt;"","Shipped",IF(F983&lt;&gt;"","Ordered, awaiting tracking","NOT ORDERED")))</f>
        <v/>
      </c>
    </row>
    <row r="984">
      <c r="C984">
        <f>IF(B984="","",RIGHT(B984,7))</f>
        <v/>
      </c>
      <c r="L984">
        <f>IF(OR(A984="",K984=""),"",K984-A984)</f>
        <v/>
      </c>
      <c r="M984">
        <f>IF(B984="","",IF(K984&lt;&gt;"","Shipped",IF(F984&lt;&gt;"","Ordered, awaiting tracking","NOT ORDERED")))</f>
        <v/>
      </c>
    </row>
    <row r="985">
      <c r="C985">
        <f>IF(B985="","",RIGHT(B985,7))</f>
        <v/>
      </c>
      <c r="L985">
        <f>IF(OR(A985="",K985=""),"",K985-A985)</f>
        <v/>
      </c>
      <c r="M985">
        <f>IF(B985="","",IF(K985&lt;&gt;"","Shipped",IF(F985&lt;&gt;"","Ordered, awaiting tracking","NOT ORDERED")))</f>
        <v/>
      </c>
    </row>
    <row r="986">
      <c r="C986">
        <f>IF(B986="","",RIGHT(B986,7))</f>
        <v/>
      </c>
      <c r="L986">
        <f>IF(OR(A986="",K986=""),"",K986-A986)</f>
        <v/>
      </c>
      <c r="M986">
        <f>IF(B986="","",IF(K986&lt;&gt;"","Shipped",IF(F986&lt;&gt;"","Ordered, awaiting tracking","NOT ORDERED")))</f>
        <v/>
      </c>
    </row>
    <row r="987">
      <c r="C987">
        <f>IF(B987="","",RIGHT(B987,7))</f>
        <v/>
      </c>
      <c r="L987">
        <f>IF(OR(A987="",K987=""),"",K987-A987)</f>
        <v/>
      </c>
      <c r="M987">
        <f>IF(B987="","",IF(K987&lt;&gt;"","Shipped",IF(F987&lt;&gt;"","Ordered, awaiting tracking","NOT ORDERED")))</f>
        <v/>
      </c>
    </row>
    <row r="988">
      <c r="C988">
        <f>IF(B988="","",RIGHT(B988,7))</f>
        <v/>
      </c>
      <c r="L988">
        <f>IF(OR(A988="",K988=""),"",K988-A988)</f>
        <v/>
      </c>
      <c r="M988">
        <f>IF(B988="","",IF(K988&lt;&gt;"","Shipped",IF(F988&lt;&gt;"","Ordered, awaiting tracking","NOT ORDERED")))</f>
        <v/>
      </c>
    </row>
    <row r="989">
      <c r="C989">
        <f>IF(B989="","",RIGHT(B989,7))</f>
        <v/>
      </c>
      <c r="L989">
        <f>IF(OR(A989="",K989=""),"",K989-A989)</f>
        <v/>
      </c>
      <c r="M989">
        <f>IF(B989="","",IF(K989&lt;&gt;"","Shipped",IF(F989&lt;&gt;"","Ordered, awaiting tracking","NOT ORDERED")))</f>
        <v/>
      </c>
    </row>
    <row r="990">
      <c r="C990">
        <f>IF(B990="","",RIGHT(B990,7))</f>
        <v/>
      </c>
      <c r="L990">
        <f>IF(OR(A990="",K990=""),"",K990-A990)</f>
        <v/>
      </c>
      <c r="M990">
        <f>IF(B990="","",IF(K990&lt;&gt;"","Shipped",IF(F990&lt;&gt;"","Ordered, awaiting tracking","NOT ORDERED")))</f>
        <v/>
      </c>
    </row>
    <row r="991">
      <c r="C991">
        <f>IF(B991="","",RIGHT(B991,7))</f>
        <v/>
      </c>
      <c r="L991">
        <f>IF(OR(A991="",K991=""),"",K991-A991)</f>
        <v/>
      </c>
      <c r="M991">
        <f>IF(B991="","",IF(K991&lt;&gt;"","Shipped",IF(F991&lt;&gt;"","Ordered, awaiting tracking","NOT ORDERED")))</f>
        <v/>
      </c>
    </row>
    <row r="992">
      <c r="C992">
        <f>IF(B992="","",RIGHT(B992,7))</f>
        <v/>
      </c>
      <c r="L992">
        <f>IF(OR(A992="",K992=""),"",K992-A992)</f>
        <v/>
      </c>
      <c r="M992">
        <f>IF(B992="","",IF(K992&lt;&gt;"","Shipped",IF(F992&lt;&gt;"","Ordered, awaiting tracking","NOT ORDERED")))</f>
        <v/>
      </c>
    </row>
    <row r="993">
      <c r="C993">
        <f>IF(B993="","",RIGHT(B993,7))</f>
        <v/>
      </c>
      <c r="L993">
        <f>IF(OR(A993="",K993=""),"",K993-A993)</f>
        <v/>
      </c>
      <c r="M993">
        <f>IF(B993="","",IF(K993&lt;&gt;"","Shipped",IF(F993&lt;&gt;"","Ordered, awaiting tracking","NOT ORDERED")))</f>
        <v/>
      </c>
    </row>
    <row r="994">
      <c r="C994">
        <f>IF(B994="","",RIGHT(B994,7))</f>
        <v/>
      </c>
      <c r="L994">
        <f>IF(OR(A994="",K994=""),"",K994-A994)</f>
        <v/>
      </c>
      <c r="M994">
        <f>IF(B994="","",IF(K994&lt;&gt;"","Shipped",IF(F994&lt;&gt;"","Ordered, awaiting tracking","NOT ORDERED")))</f>
        <v/>
      </c>
    </row>
    <row r="995">
      <c r="C995">
        <f>IF(B995="","",RIGHT(B995,7))</f>
        <v/>
      </c>
      <c r="L995">
        <f>IF(OR(A995="",K995=""),"",K995-A995)</f>
        <v/>
      </c>
      <c r="M995">
        <f>IF(B995="","",IF(K995&lt;&gt;"","Shipped",IF(F995&lt;&gt;"","Ordered, awaiting tracking","NOT ORDERED")))</f>
        <v/>
      </c>
    </row>
    <row r="996">
      <c r="C996">
        <f>IF(B996="","",RIGHT(B996,7))</f>
        <v/>
      </c>
      <c r="L996">
        <f>IF(OR(A996="",K996=""),"",K996-A996)</f>
        <v/>
      </c>
      <c r="M996">
        <f>IF(B996="","",IF(K996&lt;&gt;"","Shipped",IF(F996&lt;&gt;"","Ordered, awaiting tracking","NOT ORDERED")))</f>
        <v/>
      </c>
    </row>
    <row r="997">
      <c r="C997">
        <f>IF(B997="","",RIGHT(B997,7))</f>
        <v/>
      </c>
      <c r="L997">
        <f>IF(OR(A997="",K997=""),"",K997-A997)</f>
        <v/>
      </c>
      <c r="M997">
        <f>IF(B997="","",IF(K997&lt;&gt;"","Shipped",IF(F997&lt;&gt;"","Ordered, awaiting tracking","NOT ORDERED")))</f>
        <v/>
      </c>
    </row>
    <row r="998">
      <c r="C998">
        <f>IF(B998="","",RIGHT(B998,7))</f>
        <v/>
      </c>
      <c r="L998">
        <f>IF(OR(A998="",K998=""),"",K998-A998)</f>
        <v/>
      </c>
      <c r="M998">
        <f>IF(B998="","",IF(K998&lt;&gt;"","Shipped",IF(F998&lt;&gt;"","Ordered, awaiting tracking","NOT ORDERED")))</f>
        <v/>
      </c>
    </row>
    <row r="999">
      <c r="C999">
        <f>IF(B999="","",RIGHT(B999,7))</f>
        <v/>
      </c>
      <c r="L999">
        <f>IF(OR(A999="",K999=""),"",K999-A999)</f>
        <v/>
      </c>
      <c r="M999">
        <f>IF(B999="","",IF(K999&lt;&gt;"","Shipped",IF(F999&lt;&gt;"","Ordered, awaiting tracking","NOT ORDERED")))</f>
        <v/>
      </c>
    </row>
    <row r="1000">
      <c r="C1000">
        <f>IF(B1000="","",RIGHT(B1000,7))</f>
        <v/>
      </c>
      <c r="L1000">
        <f>IF(OR(A1000="",K1000=""),"",K1000-A1000)</f>
        <v/>
      </c>
      <c r="M1000">
        <f>IF(B1000="","",IF(K1000&lt;&gt;"","Shipped",IF(F1000&lt;&gt;"","Ordered, awaiting tracking","NOT ORDERED")))</f>
        <v/>
      </c>
    </row>
    <row r="1001">
      <c r="C1001">
        <f>IF(B1001="","",RIGHT(B1001,7))</f>
        <v/>
      </c>
      <c r="L1001">
        <f>IF(OR(A1001="",K1001=""),"",K1001-A1001)</f>
        <v/>
      </c>
      <c r="M1001">
        <f>IF(B1001="","",IF(K1001&lt;&gt;"","Shipped",IF(F1001&lt;&gt;"","Ordered, awaiting tracking","NOT ORDERED")))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Line</t>
        </is>
      </c>
      <c r="B1" s="3" t="inlineStr">
        <is>
          <t>Month 1</t>
        </is>
      </c>
      <c r="C1" s="3" t="inlineStr">
        <is>
          <t>Month 2</t>
        </is>
      </c>
      <c r="D1" s="3" t="inlineStr">
        <is>
          <t>Month 3</t>
        </is>
      </c>
      <c r="E1" s="3" t="inlineStr">
        <is>
          <t>Month 4</t>
        </is>
      </c>
      <c r="F1" s="3" t="inlineStr">
        <is>
          <t>Month 5</t>
        </is>
      </c>
      <c r="G1" s="3" t="inlineStr">
        <is>
          <t>Month 6</t>
        </is>
      </c>
    </row>
    <row r="2">
      <c r="A2" s="4" t="inlineStr">
        <is>
          <t>Orders</t>
        </is>
      </c>
    </row>
    <row r="3">
      <c r="A3" s="4" t="inlineStr">
        <is>
          <t>Gross sales (customer paid)</t>
        </is>
      </c>
    </row>
    <row r="4">
      <c r="A4" s="4" t="inlineStr">
        <is>
          <t>Amazon fees</t>
        </is>
      </c>
    </row>
    <row r="5">
      <c r="A5" s="4" t="inlineStr">
        <is>
          <t>Net deposited by Amazon</t>
        </is>
      </c>
      <c r="B5">
        <f>B3-B4</f>
        <v/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4" t="inlineStr">
        <is>
          <t>Supplier cost of those orders</t>
        </is>
      </c>
    </row>
    <row r="7">
      <c r="A7" s="4" t="inlineStr">
        <is>
          <t>Per-order profit (net minus supplier)</t>
        </is>
      </c>
      <c r="B7">
        <f>B5-B6</f>
        <v/>
      </c>
      <c r="C7">
        <f>C5-C6</f>
        <v/>
      </c>
      <c r="D7">
        <f>D5-D6</f>
        <v/>
      </c>
      <c r="E7">
        <f>E5-E6</f>
        <v/>
      </c>
      <c r="F7">
        <f>F5-F6</f>
        <v/>
      </c>
      <c r="G7">
        <f>G5-G6</f>
        <v/>
      </c>
    </row>
    <row r="8">
      <c r="A8" s="4" t="inlineStr">
        <is>
          <t>Overhead (subscriptions, tools, unrecovered refunds)</t>
        </is>
      </c>
    </row>
    <row r="9">
      <c r="A9" s="2" t="inlineStr">
        <is>
          <t>BUSINESS PROFIT</t>
        </is>
      </c>
      <c r="B9">
        <f>B7-B8</f>
        <v/>
      </c>
      <c r="C9">
        <f>C7-C8</f>
        <v/>
      </c>
      <c r="D9">
        <f>D7-D8</f>
        <v/>
      </c>
      <c r="E9">
        <f>E7-E8</f>
        <v/>
      </c>
      <c r="F9">
        <f>F7-F8</f>
        <v/>
      </c>
      <c r="G9">
        <f>G7-G8</f>
        <v/>
      </c>
    </row>
    <row r="10">
      <c r="A10" s="4" t="inlineStr">
        <is>
          <t>Net margin on Amazon net revenue</t>
        </is>
      </c>
      <c r="B10" s="5">
        <f>IF(B5=0,"",B9/B5)</f>
        <v/>
      </c>
      <c r="C10" s="5">
        <f>IF(C5=0,"",C9/C5)</f>
        <v/>
      </c>
      <c r="D10" s="5">
        <f>IF(D5=0,"",D9/D5)</f>
        <v/>
      </c>
      <c r="E10" s="5">
        <f>IF(E5=0,"",E9/E5)</f>
        <v/>
      </c>
      <c r="F10" s="5">
        <f>IF(F5=0,"",F9/F5)</f>
        <v/>
      </c>
      <c r="G10" s="5">
        <f>IF(G5=0,"",G9/G5)</f>
        <v/>
      </c>
    </row>
    <row r="11">
      <c r="A11" s="4" t="inlineStr">
        <is>
          <t>Active listings at month end</t>
        </is>
      </c>
    </row>
    <row r="12">
      <c r="A12" s="4" t="inlineStr">
        <is>
          <t>Listings where I hold the Featured Offer</t>
        </is>
      </c>
    </row>
    <row r="13">
      <c r="A13" s="4" t="inlineStr">
        <is>
          <t>ODR %</t>
        </is>
      </c>
    </row>
    <row r="14">
      <c r="A14" s="4" t="inlineStr">
        <is>
          <t>Late shipment rate %</t>
        </is>
      </c>
    </row>
    <row r="15">
      <c r="A15" s="4" t="inlineStr">
        <is>
          <t>Cancellation rate 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90" customWidth="1" min="3" max="3"/>
    <col width="9" customWidth="1" min="4" max="4"/>
    <col width="9" customWidth="1" min="5" max="5"/>
  </cols>
  <sheetData>
    <row r="1">
      <c r="A1" s="3" t="inlineStr">
        <is>
          <t>Week</t>
        </is>
      </c>
      <c r="B1" s="3" t="inlineStr">
        <is>
          <t>Day</t>
        </is>
      </c>
      <c r="C1" s="3" t="inlineStr">
        <is>
          <t>Task</t>
        </is>
      </c>
      <c r="D1" s="3" t="inlineStr">
        <is>
          <t>Chapter</t>
        </is>
      </c>
      <c r="E1" s="3" t="inlineStr">
        <is>
          <t>Done (Y)</t>
        </is>
      </c>
    </row>
    <row r="2">
      <c r="A2" t="n">
        <v>1</v>
      </c>
      <c r="B2" t="n">
        <v>1</v>
      </c>
      <c r="C2" t="inlineStr">
        <is>
          <t>Register business name; designate bank account; decide GST/HST registration</t>
        </is>
      </c>
      <c r="D2" t="n">
        <v>2</v>
      </c>
      <c r="E2" t="inlineStr"/>
    </row>
    <row r="3">
      <c r="A3" t="n">
        <v>1</v>
      </c>
      <c r="B3" t="n">
        <v>1</v>
      </c>
      <c r="C3" t="inlineStr">
        <is>
          <t>Start Seller Central Professional registration; upload ID</t>
        </is>
      </c>
      <c r="D3" t="n">
        <v>2</v>
      </c>
      <c r="E3" t="inlineStr"/>
    </row>
    <row r="4">
      <c r="A4" t="n">
        <v>1</v>
      </c>
      <c r="B4" t="inlineStr">
        <is>
          <t>2-4</t>
        </is>
      </c>
      <c r="C4" t="inlineStr">
        <is>
          <t>Shortlist 3 distributors; email the drop-ship questions</t>
        </is>
      </c>
      <c r="D4" t="n">
        <v>3</v>
      </c>
      <c r="E4" t="inlineStr"/>
    </row>
    <row r="5">
      <c r="A5" t="n">
        <v>1</v>
      </c>
      <c r="B5" t="n">
        <v>5</v>
      </c>
      <c r="C5" t="inlineStr">
        <is>
          <t>Open supplier account; place test order to own address</t>
        </is>
      </c>
      <c r="D5" t="n">
        <v>3</v>
      </c>
      <c r="E5" t="inlineStr"/>
    </row>
    <row r="6">
      <c r="A6" t="n">
        <v>1</v>
      </c>
      <c r="B6" t="inlineStr">
        <is>
          <t>6-7</t>
        </is>
      </c>
      <c r="C6" t="inlineStr">
        <is>
          <t>Build profit spreadsheet with real fees; set and write down the profit floor</t>
        </is>
      </c>
      <c r="D6" t="n">
        <v>4</v>
      </c>
      <c r="E6" t="inlineStr"/>
    </row>
    <row r="7">
      <c r="A7" t="n">
        <v>2</v>
      </c>
      <c r="B7" t="n">
        <v>8</v>
      </c>
      <c r="C7" t="inlineStr">
        <is>
          <t>Build shipping template; set return address</t>
        </is>
      </c>
      <c r="D7" t="n">
        <v>2</v>
      </c>
      <c r="E7" t="inlineStr"/>
    </row>
    <row r="8">
      <c r="A8" t="n">
        <v>2</v>
      </c>
      <c r="B8" t="n">
        <v>8</v>
      </c>
      <c r="C8" t="inlineStr">
        <is>
          <t>Check gating on top 10 brands; apply where needed</t>
        </is>
      </c>
      <c r="D8" t="n">
        <v>5</v>
      </c>
      <c r="E8" t="inlineStr"/>
    </row>
    <row r="9">
      <c r="A9" t="n">
        <v>2</v>
      </c>
      <c r="B9" t="inlineStr">
        <is>
          <t>9-12</t>
        </is>
      </c>
      <c r="C9" t="inlineStr">
        <is>
          <t>Research by hand, UPC-first; target 80 passes</t>
        </is>
      </c>
      <c r="D9" t="n">
        <v>5</v>
      </c>
      <c r="E9" t="inlineStr"/>
    </row>
    <row r="10">
      <c r="A10" t="n">
        <v>2</v>
      </c>
      <c r="B10" t="n">
        <v>13</v>
      </c>
      <c r="C10" t="inlineStr">
        <is>
          <t>Build bulk upload file; SKU = reorder number; price split; upload</t>
        </is>
      </c>
      <c r="D10" t="n">
        <v>6</v>
      </c>
      <c r="E10" t="inlineStr"/>
    </row>
    <row r="11">
      <c r="A11" t="n">
        <v>2</v>
      </c>
      <c r="B11" t="n">
        <v>14</v>
      </c>
      <c r="C11" t="inlineStr">
        <is>
          <t>Read processing report; fix failures; verify 10 live listings vs Featured Offer</t>
        </is>
      </c>
      <c r="D11" t="n">
        <v>6</v>
      </c>
      <c r="E11" t="inlineStr"/>
    </row>
    <row r="12">
      <c r="A12" t="n">
        <v>3</v>
      </c>
      <c r="B12" t="n">
        <v>15</v>
      </c>
      <c r="C12" t="inlineStr">
        <is>
          <t>Write the order loop as a literal checklist (PO, SKU, carrier names)</t>
        </is>
      </c>
      <c r="D12" t="n">
        <v>8</v>
      </c>
      <c r="E12" t="inlineStr"/>
    </row>
    <row r="13">
      <c r="A13" t="n">
        <v>3</v>
      </c>
      <c r="B13" t="inlineStr">
        <is>
          <t>15-21</t>
        </is>
      </c>
      <c r="C13" t="inlineStr">
        <is>
          <t>Orders morning and evening; supplier orders same day; confirm on tracking</t>
        </is>
      </c>
      <c r="D13" t="n">
        <v>8</v>
      </c>
      <c r="E13" t="inlineStr"/>
    </row>
    <row r="14">
      <c r="A14" t="n">
        <v>3</v>
      </c>
      <c r="B14" t="n">
        <v>17</v>
      </c>
      <c r="C14" t="inlineStr">
        <is>
          <t>Add 50 more listings</t>
        </is>
      </c>
      <c r="D14" t="n">
        <v>5</v>
      </c>
      <c r="E14" t="inlineStr"/>
    </row>
    <row r="15">
      <c r="A15" t="n">
        <v>3</v>
      </c>
      <c r="B15" t="n">
        <v>21</v>
      </c>
      <c r="C15" t="inlineStr">
        <is>
          <t>First weekly reconciliation</t>
        </is>
      </c>
      <c r="D15" t="n">
        <v>8</v>
      </c>
      <c r="E15" t="inlineStr"/>
    </row>
    <row r="16">
      <c r="A16" t="n">
        <v>4</v>
      </c>
      <c r="B16" t="n">
        <v>22</v>
      </c>
      <c r="C16" t="inlineStr">
        <is>
          <t>Featured Offer audit across all listings; reprice MATCH rows</t>
        </is>
      </c>
      <c r="D16" t="n">
        <v>7</v>
      </c>
      <c r="E16" t="inlineStr"/>
    </row>
    <row r="17">
      <c r="A17" t="n">
        <v>4</v>
      </c>
      <c r="B17" t="n">
        <v>24</v>
      </c>
      <c r="C17" t="inlineStr">
        <is>
          <t>Weekly health check; write 5 message templates</t>
        </is>
      </c>
      <c r="D17" t="n">
        <v>10</v>
      </c>
      <c r="E17" t="inlineStr"/>
    </row>
    <row r="18">
      <c r="A18" t="n">
        <v>4</v>
      </c>
      <c r="B18" t="n">
        <v>26</v>
      </c>
      <c r="C18" t="inlineStr">
        <is>
          <t>Reach 150+ listings</t>
        </is>
      </c>
      <c r="D18" t="n">
        <v>5</v>
      </c>
      <c r="E18" t="inlineStr"/>
    </row>
    <row r="19">
      <c r="A19" t="n">
        <v>4</v>
      </c>
      <c r="B19" t="n">
        <v>28</v>
      </c>
      <c r="C19" t="inlineStr">
        <is>
          <t>Match payments ledger to supplier invoices by PO; monthly report</t>
        </is>
      </c>
      <c r="D19" t="n">
        <v>11</v>
      </c>
      <c r="E19" t="inlineStr"/>
    </row>
    <row r="20">
      <c r="A20" t="n">
        <v>4</v>
      </c>
      <c r="B20" t="n">
        <v>30</v>
      </c>
      <c r="C20" t="inlineStr">
        <is>
          <t>Write the tracking procedure precisely; that is the spec for automation #1</t>
        </is>
      </c>
      <c r="D20" t="n">
        <v>9</v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2026-10-10T02:01:24Z</dcterms:created>
  <dcterms:modified xmlns:dcterms="http://purl.org/dc/terms/" xmlns:xsi="http://www.w3.org/2001/XMLSchema-instance" xsi:type="dcterms:W3CDTF">2026-10-10T02:01:24Z</dcterms:modified>
</cp:coreProperties>
</file>